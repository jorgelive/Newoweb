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rgegomez/Downloads/"/>
    </mc:Choice>
  </mc:AlternateContent>
  <xr:revisionPtr revIDLastSave="0" documentId="13_ncr:1_{6DBC2FCB-E002-0B47-8312-D3A16807BFE1}" xr6:coauthVersionLast="47" xr6:coauthVersionMax="47" xr10:uidLastSave="{00000000-0000-0000-0000-000000000000}"/>
  <bookViews>
    <workbookView xWindow="0" yWindow="680" windowWidth="29040" windowHeight="15720" tabRatio="434" xr2:uid="{00000000-000D-0000-FFFF-FFFF00000000}"/>
  </bookViews>
  <sheets>
    <sheet name="Hoja1" sheetId="1" r:id="rId1"/>
    <sheet name="Tablas" sheetId="2" state="hidden" r:id="rId2"/>
  </sheets>
  <definedNames>
    <definedName name="estudianteLista">Tablas!$J$2:$J$3</definedName>
    <definedName name="listaSexo">Tablas!$A$2:$A$3</definedName>
    <definedName name="paisesLista">Tablas!$G$2:$G$255</definedName>
    <definedName name="procedenciaLista">Tablas!$P$2:$P$6</definedName>
    <definedName name="tarifasLista">Tablas!$M$2:$M$12</definedName>
    <definedName name="tdocLista">Tablas!$D$2:$D$7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4" i="1"/>
  <c r="D5" i="1"/>
  <c r="D6" i="1"/>
  <c r="D7" i="1"/>
  <c r="D8" i="1"/>
  <c r="D9" i="1"/>
  <c r="D10" i="1"/>
  <c r="D11" i="1"/>
  <c r="D12" i="1"/>
  <c r="D13" i="1"/>
  <c r="D4" i="1"/>
  <c r="F5" i="1"/>
  <c r="F6" i="1"/>
  <c r="F7" i="1"/>
  <c r="F8" i="1"/>
  <c r="F9" i="1"/>
  <c r="F10" i="1"/>
  <c r="F11" i="1"/>
  <c r="F12" i="1"/>
  <c r="F13" i="1"/>
  <c r="F4" i="1"/>
  <c r="H7" i="1"/>
  <c r="H8" i="1"/>
  <c r="H9" i="1"/>
  <c r="H10" i="1"/>
  <c r="H11" i="1"/>
  <c r="H12" i="1"/>
  <c r="H13" i="1"/>
  <c r="H5" i="1"/>
  <c r="H6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paises (2)" description="Conexión a la consulta 'paises (2)' en el libro." type="5" refreshedVersion="0" background="1">
    <dbPr connection="Provider=Microsoft.Mashup.OleDb.1;Data Source=$Workbook$;Location=&quot;paises (2)&quot;;Extended Properties=&quot;&quot;" command="SELECT * FROM [paises (2)]"/>
  </connection>
  <connection id="2" xr16:uid="{00000000-0015-0000-FFFF-FFFF01000000}" keepAlive="1" name="Consulta - paises (3)" description="Conexión a la consulta 'paises (3)' en el libro." type="5" refreshedVersion="8" background="1" saveData="1">
    <dbPr connection="Provider=Microsoft.Mashup.OleDb.1;Data Source=$Workbook$;Location=&quot;paises (3)&quot;;Extended Properties=&quot;&quot;" command="SELECT * FROM [paises (3)]"/>
  </connection>
</connections>
</file>

<file path=xl/sharedStrings.xml><?xml version="1.0" encoding="utf-8"?>
<sst xmlns="http://schemas.openxmlformats.org/spreadsheetml/2006/main" count="564" uniqueCount="557">
  <si>
    <t>Tipo de Documento</t>
  </si>
  <si>
    <t>Nro Documento</t>
  </si>
  <si>
    <t>Nombres</t>
  </si>
  <si>
    <t>Apellido Paterno</t>
  </si>
  <si>
    <t>Apellido Materno</t>
  </si>
  <si>
    <t>País</t>
  </si>
  <si>
    <t>Sexo</t>
  </si>
  <si>
    <t>valor</t>
  </si>
  <si>
    <t>sexo</t>
  </si>
  <si>
    <t>Masculino</t>
  </si>
  <si>
    <t>Femenino</t>
  </si>
  <si>
    <t>TipoDocumento</t>
  </si>
  <si>
    <t>Valor</t>
  </si>
  <si>
    <t>DNI</t>
  </si>
  <si>
    <t>CE</t>
  </si>
  <si>
    <t>PAS</t>
  </si>
  <si>
    <t>RUC</t>
  </si>
  <si>
    <t>1</t>
  </si>
  <si>
    <t>Afganistán</t>
  </si>
  <si>
    <t>Column1.sidPais</t>
  </si>
  <si>
    <t>Column1.snombre</t>
  </si>
  <si>
    <t>2</t>
  </si>
  <si>
    <t>Albania</t>
  </si>
  <si>
    <t>3</t>
  </si>
  <si>
    <t>Alemania</t>
  </si>
  <si>
    <t>4</t>
  </si>
  <si>
    <t>Andorra</t>
  </si>
  <si>
    <t>5</t>
  </si>
  <si>
    <t>Angola</t>
  </si>
  <si>
    <t>6</t>
  </si>
  <si>
    <t>Anguilla (RU)</t>
  </si>
  <si>
    <t>7</t>
  </si>
  <si>
    <t>Antártida</t>
  </si>
  <si>
    <t>8</t>
  </si>
  <si>
    <t>Antigua y Barbuda</t>
  </si>
  <si>
    <t>9</t>
  </si>
  <si>
    <t>Arabia Saudita</t>
  </si>
  <si>
    <t>10</t>
  </si>
  <si>
    <t>Archipiélago Svalbard (Noruega)</t>
  </si>
  <si>
    <t>11</t>
  </si>
  <si>
    <t>Argelia</t>
  </si>
  <si>
    <t>12</t>
  </si>
  <si>
    <t>Argentina</t>
  </si>
  <si>
    <t>13</t>
  </si>
  <si>
    <t>Armenia</t>
  </si>
  <si>
    <t>14</t>
  </si>
  <si>
    <t>Aruba (Paises Bajos)</t>
  </si>
  <si>
    <t>15</t>
  </si>
  <si>
    <t>Atolón Johnston (EEUU)</t>
  </si>
  <si>
    <t>16</t>
  </si>
  <si>
    <t>Australia</t>
  </si>
  <si>
    <t>17</t>
  </si>
  <si>
    <t>Austria</t>
  </si>
  <si>
    <t>18</t>
  </si>
  <si>
    <t>Azerbaiyán</t>
  </si>
  <si>
    <t>19</t>
  </si>
  <si>
    <t>Bahamas</t>
  </si>
  <si>
    <t>20</t>
  </si>
  <si>
    <t>Bahrein</t>
  </si>
  <si>
    <t>21</t>
  </si>
  <si>
    <t>Bangladesh</t>
  </si>
  <si>
    <t>22</t>
  </si>
  <si>
    <t>Barbados</t>
  </si>
  <si>
    <t>23</t>
  </si>
  <si>
    <t>Belarús</t>
  </si>
  <si>
    <t>24</t>
  </si>
  <si>
    <t>Bélgica</t>
  </si>
  <si>
    <t>25</t>
  </si>
  <si>
    <t>Belice</t>
  </si>
  <si>
    <t>26</t>
  </si>
  <si>
    <t>Benin</t>
  </si>
  <si>
    <t>27</t>
  </si>
  <si>
    <t>Bermudas (RU)</t>
  </si>
  <si>
    <t>28</t>
  </si>
  <si>
    <t>Bolivia</t>
  </si>
  <si>
    <t>29</t>
  </si>
  <si>
    <t>Bonaire (Paises Bajos)</t>
  </si>
  <si>
    <t>30</t>
  </si>
  <si>
    <t>Bosnia y Herzegovina</t>
  </si>
  <si>
    <t>31</t>
  </si>
  <si>
    <t>Botswana</t>
  </si>
  <si>
    <t>32</t>
  </si>
  <si>
    <t>Brasil</t>
  </si>
  <si>
    <t>33</t>
  </si>
  <si>
    <t>Brunei</t>
  </si>
  <si>
    <t>34</t>
  </si>
  <si>
    <t>Bulgaria</t>
  </si>
  <si>
    <t>35</t>
  </si>
  <si>
    <t>Burkina Faso</t>
  </si>
  <si>
    <t>36</t>
  </si>
  <si>
    <t>Burundi</t>
  </si>
  <si>
    <t>37</t>
  </si>
  <si>
    <t>Bután</t>
  </si>
  <si>
    <t>38</t>
  </si>
  <si>
    <t>Cabo Verde</t>
  </si>
  <si>
    <t>39</t>
  </si>
  <si>
    <t>Cambodia</t>
  </si>
  <si>
    <t>40</t>
  </si>
  <si>
    <t>Camerún</t>
  </si>
  <si>
    <t>41</t>
  </si>
  <si>
    <t>Canadá</t>
  </si>
  <si>
    <t>42</t>
  </si>
  <si>
    <t>Catar</t>
  </si>
  <si>
    <t>43</t>
  </si>
  <si>
    <t>Chad</t>
  </si>
  <si>
    <t>44</t>
  </si>
  <si>
    <t>Chile</t>
  </si>
  <si>
    <t>45</t>
  </si>
  <si>
    <t>China</t>
  </si>
  <si>
    <t>46</t>
  </si>
  <si>
    <t>Chipre</t>
  </si>
  <si>
    <t>47</t>
  </si>
  <si>
    <t>Colombia</t>
  </si>
  <si>
    <t>48</t>
  </si>
  <si>
    <t>Comoras</t>
  </si>
  <si>
    <t>49</t>
  </si>
  <si>
    <t>Congo</t>
  </si>
  <si>
    <t>50</t>
  </si>
  <si>
    <t>Costa de Marfil</t>
  </si>
  <si>
    <t>51</t>
  </si>
  <si>
    <t>Costa Rica</t>
  </si>
  <si>
    <t>52</t>
  </si>
  <si>
    <t>Croacia</t>
  </si>
  <si>
    <t>53</t>
  </si>
  <si>
    <t>Cuba</t>
  </si>
  <si>
    <t>54</t>
  </si>
  <si>
    <t>Curazao (Paises Bajos)</t>
  </si>
  <si>
    <t>55</t>
  </si>
  <si>
    <t>Dinamarca</t>
  </si>
  <si>
    <t>56</t>
  </si>
  <si>
    <t>Dominica</t>
  </si>
  <si>
    <t>57</t>
  </si>
  <si>
    <t>Ecuador</t>
  </si>
  <si>
    <t>58</t>
  </si>
  <si>
    <t>Egipto</t>
  </si>
  <si>
    <t>59</t>
  </si>
  <si>
    <t>El Salvador</t>
  </si>
  <si>
    <t>60</t>
  </si>
  <si>
    <t>Emiratos Árabes Unidos</t>
  </si>
  <si>
    <t>61</t>
  </si>
  <si>
    <t>Eritrea</t>
  </si>
  <si>
    <t>62</t>
  </si>
  <si>
    <t>Eslovaquia</t>
  </si>
  <si>
    <t>63</t>
  </si>
  <si>
    <t>Eslovenia</t>
  </si>
  <si>
    <t>64</t>
  </si>
  <si>
    <t>España</t>
  </si>
  <si>
    <t>65</t>
  </si>
  <si>
    <t>Estados Federados de Micronesia</t>
  </si>
  <si>
    <t>66</t>
  </si>
  <si>
    <t>Estados Unidos</t>
  </si>
  <si>
    <t>67</t>
  </si>
  <si>
    <t>Estonia</t>
  </si>
  <si>
    <t>68</t>
  </si>
  <si>
    <t>Etiopía</t>
  </si>
  <si>
    <t>69</t>
  </si>
  <si>
    <t>Fiji</t>
  </si>
  <si>
    <t>70</t>
  </si>
  <si>
    <t>Filipinas</t>
  </si>
  <si>
    <t>71</t>
  </si>
  <si>
    <t>Finlandia</t>
  </si>
  <si>
    <t>72</t>
  </si>
  <si>
    <t>Francia</t>
  </si>
  <si>
    <t>73</t>
  </si>
  <si>
    <t>Gabón</t>
  </si>
  <si>
    <t>74</t>
  </si>
  <si>
    <t>Gambia</t>
  </si>
  <si>
    <t>75</t>
  </si>
  <si>
    <t>Georgia</t>
  </si>
  <si>
    <t>76</t>
  </si>
  <si>
    <t>Ghana</t>
  </si>
  <si>
    <t>77</t>
  </si>
  <si>
    <t>Gibraltar (RU)</t>
  </si>
  <si>
    <t>78</t>
  </si>
  <si>
    <t>Granada</t>
  </si>
  <si>
    <t>79</t>
  </si>
  <si>
    <t>Grecia</t>
  </si>
  <si>
    <t>80</t>
  </si>
  <si>
    <t>Groenlandia (Dinamarca)</t>
  </si>
  <si>
    <t>81</t>
  </si>
  <si>
    <t>Guadalupe (Francia)</t>
  </si>
  <si>
    <t>82</t>
  </si>
  <si>
    <t>Guam (EEUU)</t>
  </si>
  <si>
    <t>83</t>
  </si>
  <si>
    <t>Guatemala</t>
  </si>
  <si>
    <t>84</t>
  </si>
  <si>
    <t>Guayana Francesa (Francia)</t>
  </si>
  <si>
    <t>85</t>
  </si>
  <si>
    <t>Guernsey (RU)</t>
  </si>
  <si>
    <t>86</t>
  </si>
  <si>
    <t>Guinea</t>
  </si>
  <si>
    <t>87</t>
  </si>
  <si>
    <t>Guinea-Bissau</t>
  </si>
  <si>
    <t>88</t>
  </si>
  <si>
    <t>Guinea Ecuatorial</t>
  </si>
  <si>
    <t>89</t>
  </si>
  <si>
    <t>Guyana</t>
  </si>
  <si>
    <t>90</t>
  </si>
  <si>
    <t>Haiti</t>
  </si>
  <si>
    <t>91</t>
  </si>
  <si>
    <t>Honduras</t>
  </si>
  <si>
    <t>92</t>
  </si>
  <si>
    <t>Hungría</t>
  </si>
  <si>
    <t>93</t>
  </si>
  <si>
    <t>India</t>
  </si>
  <si>
    <t>94</t>
  </si>
  <si>
    <t>Indonesia</t>
  </si>
  <si>
    <t>95</t>
  </si>
  <si>
    <t>Iran</t>
  </si>
  <si>
    <t>96</t>
  </si>
  <si>
    <t>Iraq</t>
  </si>
  <si>
    <t>97</t>
  </si>
  <si>
    <t>Irlanda</t>
  </si>
  <si>
    <t>98</t>
  </si>
  <si>
    <t>Isla Baker (EEUU)</t>
  </si>
  <si>
    <t>99</t>
  </si>
  <si>
    <t>Isla Bouvet (Noruega)</t>
  </si>
  <si>
    <t>100</t>
  </si>
  <si>
    <t>Isla Christmas (Australia)</t>
  </si>
  <si>
    <t>101</t>
  </si>
  <si>
    <t>Isla de Man (RU)</t>
  </si>
  <si>
    <t>102</t>
  </si>
  <si>
    <t>Isla Howland (EEUU)</t>
  </si>
  <si>
    <t>103</t>
  </si>
  <si>
    <t>Isla Jarvis (EEUU)</t>
  </si>
  <si>
    <t>104</t>
  </si>
  <si>
    <t>Isla Juan De Nova (Francia)</t>
  </si>
  <si>
    <t>105</t>
  </si>
  <si>
    <t>Isla Midway (EEUU)</t>
  </si>
  <si>
    <t>106</t>
  </si>
  <si>
    <t>Islandia</t>
  </si>
  <si>
    <t>107</t>
  </si>
  <si>
    <t>Isla Norfolk (Australia)</t>
  </si>
  <si>
    <t>108</t>
  </si>
  <si>
    <t>Islas Caimán (RU)</t>
  </si>
  <si>
    <t>109</t>
  </si>
  <si>
    <t>Islas Cocos (Australia)</t>
  </si>
  <si>
    <t>110</t>
  </si>
  <si>
    <t>Islas Cook (Nueva Zelanda)</t>
  </si>
  <si>
    <t>111</t>
  </si>
  <si>
    <t>Islas Faroe (Dinamarca)</t>
  </si>
  <si>
    <t>112</t>
  </si>
  <si>
    <t>Islas Georgias del Sur y Sandwich del Sur (RU)</t>
  </si>
  <si>
    <t>113</t>
  </si>
  <si>
    <t>Islas Gloriosas (Francia)</t>
  </si>
  <si>
    <t>114</t>
  </si>
  <si>
    <t>Islas Heard y McDonald (Australia)</t>
  </si>
  <si>
    <t>115</t>
  </si>
  <si>
    <t>Islas Malvinas (RU)</t>
  </si>
  <si>
    <t>116</t>
  </si>
  <si>
    <t>Islas Marianas del Norte (EEUU)</t>
  </si>
  <si>
    <t>117</t>
  </si>
  <si>
    <t>Islas Marshall</t>
  </si>
  <si>
    <t>118</t>
  </si>
  <si>
    <t>Islas Paracel (China)</t>
  </si>
  <si>
    <t>119</t>
  </si>
  <si>
    <t>Islas Pitcairn (RU)</t>
  </si>
  <si>
    <t>120</t>
  </si>
  <si>
    <t>Islas Salomón</t>
  </si>
  <si>
    <t>121</t>
  </si>
  <si>
    <t>Islas Spratly (en disputa)</t>
  </si>
  <si>
    <t>122</t>
  </si>
  <si>
    <t>Islas Vírgenes Británicas (RU)</t>
  </si>
  <si>
    <t>123</t>
  </si>
  <si>
    <t>Islas Vírgenes Estadounidenses (EEUU)</t>
  </si>
  <si>
    <t>124</t>
  </si>
  <si>
    <t>Isla Wake (EEUU)</t>
  </si>
  <si>
    <t>125</t>
  </si>
  <si>
    <t>Israel</t>
  </si>
  <si>
    <t>126</t>
  </si>
  <si>
    <t>Italia</t>
  </si>
  <si>
    <t>127</t>
  </si>
  <si>
    <t>Jamaica</t>
  </si>
  <si>
    <t>128</t>
  </si>
  <si>
    <t>Jan Mayen (Norway)</t>
  </si>
  <si>
    <t>129</t>
  </si>
  <si>
    <t>Japón</t>
  </si>
  <si>
    <t>130</t>
  </si>
  <si>
    <t>Jersey (RU)</t>
  </si>
  <si>
    <t>131</t>
  </si>
  <si>
    <t>Jordania</t>
  </si>
  <si>
    <t>132</t>
  </si>
  <si>
    <t>Kazakistán</t>
  </si>
  <si>
    <t>133</t>
  </si>
  <si>
    <t>Kenya</t>
  </si>
  <si>
    <t>134</t>
  </si>
  <si>
    <t>Kirguistán</t>
  </si>
  <si>
    <t>135</t>
  </si>
  <si>
    <t>Kiribati</t>
  </si>
  <si>
    <t>136</t>
  </si>
  <si>
    <t>Kuwait</t>
  </si>
  <si>
    <t>137</t>
  </si>
  <si>
    <t>Laos</t>
  </si>
  <si>
    <t>138</t>
  </si>
  <si>
    <t>Lesotho</t>
  </si>
  <si>
    <t>139</t>
  </si>
  <si>
    <t>Letonia</t>
  </si>
  <si>
    <t>140</t>
  </si>
  <si>
    <t>Líbano</t>
  </si>
  <si>
    <t>141</t>
  </si>
  <si>
    <t>Liberia</t>
  </si>
  <si>
    <t>142</t>
  </si>
  <si>
    <t>Libia</t>
  </si>
  <si>
    <t>143</t>
  </si>
  <si>
    <t>Liechtenstein</t>
  </si>
  <si>
    <t>144</t>
  </si>
  <si>
    <t>Lituania</t>
  </si>
  <si>
    <t>145</t>
  </si>
  <si>
    <t>Luxemburgo</t>
  </si>
  <si>
    <t>146</t>
  </si>
  <si>
    <t>Macedonia</t>
  </si>
  <si>
    <t>147</t>
  </si>
  <si>
    <t>Madagascar</t>
  </si>
  <si>
    <t>148</t>
  </si>
  <si>
    <t>Malasia</t>
  </si>
  <si>
    <t>149</t>
  </si>
  <si>
    <t>Malawi</t>
  </si>
  <si>
    <t>150</t>
  </si>
  <si>
    <t>Maldivas</t>
  </si>
  <si>
    <t>151</t>
  </si>
  <si>
    <t>Mali</t>
  </si>
  <si>
    <t>152</t>
  </si>
  <si>
    <t>Malta</t>
  </si>
  <si>
    <t>153</t>
  </si>
  <si>
    <t>Marruecos</t>
  </si>
  <si>
    <t>154</t>
  </si>
  <si>
    <t>Martinica (Francia)</t>
  </si>
  <si>
    <t>155</t>
  </si>
  <si>
    <t>Mauricio</t>
  </si>
  <si>
    <t>156</t>
  </si>
  <si>
    <t>Mauritania</t>
  </si>
  <si>
    <t>157</t>
  </si>
  <si>
    <t>Mayotte (Francia)</t>
  </si>
  <si>
    <t>158</t>
  </si>
  <si>
    <t>México</t>
  </si>
  <si>
    <t>159</t>
  </si>
  <si>
    <t>Moldavia</t>
  </si>
  <si>
    <t>160</t>
  </si>
  <si>
    <t>Mónaco</t>
  </si>
  <si>
    <t>161</t>
  </si>
  <si>
    <t>Mongolia</t>
  </si>
  <si>
    <t>162</t>
  </si>
  <si>
    <t>Montenegro</t>
  </si>
  <si>
    <t>163</t>
  </si>
  <si>
    <t>Montserrat (RU)</t>
  </si>
  <si>
    <t>164</t>
  </si>
  <si>
    <t>Mozambique</t>
  </si>
  <si>
    <t>165</t>
  </si>
  <si>
    <t>Myanmar</t>
  </si>
  <si>
    <t>166</t>
  </si>
  <si>
    <t>Namibia</t>
  </si>
  <si>
    <t>167</t>
  </si>
  <si>
    <t>Naurú</t>
  </si>
  <si>
    <t>168</t>
  </si>
  <si>
    <t>Nepal</t>
  </si>
  <si>
    <t>169</t>
  </si>
  <si>
    <t>Nicaragua</t>
  </si>
  <si>
    <t>170</t>
  </si>
  <si>
    <t>Níger</t>
  </si>
  <si>
    <t>171</t>
  </si>
  <si>
    <t>Nigeria</t>
  </si>
  <si>
    <t>172</t>
  </si>
  <si>
    <t>Niue (Nueva Zelanda)</t>
  </si>
  <si>
    <t>173</t>
  </si>
  <si>
    <t>Noruega</t>
  </si>
  <si>
    <t>174</t>
  </si>
  <si>
    <t>Nueva Caledonia (Francia)</t>
  </si>
  <si>
    <t>175</t>
  </si>
  <si>
    <t>Nueva Zelanda</t>
  </si>
  <si>
    <t>176</t>
  </si>
  <si>
    <t>Omán</t>
  </si>
  <si>
    <t>177</t>
  </si>
  <si>
    <t>Paises Bajos</t>
  </si>
  <si>
    <t>178</t>
  </si>
  <si>
    <t>Pakistán</t>
  </si>
  <si>
    <t>179</t>
  </si>
  <si>
    <t>Palau (EEUU)</t>
  </si>
  <si>
    <t>180</t>
  </si>
  <si>
    <t>Palestina</t>
  </si>
  <si>
    <t>181</t>
  </si>
  <si>
    <t>Panamá</t>
  </si>
  <si>
    <t>182</t>
  </si>
  <si>
    <t>Papúa Nueva Guinea</t>
  </si>
  <si>
    <t>183</t>
  </si>
  <si>
    <t>Paraguay</t>
  </si>
  <si>
    <t>184</t>
  </si>
  <si>
    <t>Perú</t>
  </si>
  <si>
    <t>185</t>
  </si>
  <si>
    <t>Polinesia Francesa (Francia)</t>
  </si>
  <si>
    <t>186</t>
  </si>
  <si>
    <t>Polonia</t>
  </si>
  <si>
    <t>187</t>
  </si>
  <si>
    <t>Portugal</t>
  </si>
  <si>
    <t>188</t>
  </si>
  <si>
    <t>Puerto Rico (EEUU)</t>
  </si>
  <si>
    <t>189</t>
  </si>
  <si>
    <t>Reino Unido</t>
  </si>
  <si>
    <t>190</t>
  </si>
  <si>
    <t>República Centroafricana</t>
  </si>
  <si>
    <t>191</t>
  </si>
  <si>
    <t>República Checa</t>
  </si>
  <si>
    <t>192</t>
  </si>
  <si>
    <t>República de Corea</t>
  </si>
  <si>
    <t>193</t>
  </si>
  <si>
    <t>República Democrática del Congo</t>
  </si>
  <si>
    <t>194</t>
  </si>
  <si>
    <t>República Dominicana</t>
  </si>
  <si>
    <t>195</t>
  </si>
  <si>
    <t>Reunión (Francia)</t>
  </si>
  <si>
    <t>196</t>
  </si>
  <si>
    <t>RPD Corea</t>
  </si>
  <si>
    <t>197</t>
  </si>
  <si>
    <t>Ruanda</t>
  </si>
  <si>
    <t>198</t>
  </si>
  <si>
    <t>Rumania</t>
  </si>
  <si>
    <t>199</t>
  </si>
  <si>
    <t>Rusia</t>
  </si>
  <si>
    <t>200</t>
  </si>
  <si>
    <t>Sahara Occidental</t>
  </si>
  <si>
    <t>201</t>
  </si>
  <si>
    <t>Samoa</t>
  </si>
  <si>
    <t>202</t>
  </si>
  <si>
    <t>Samoa Americana (EEUU)</t>
  </si>
  <si>
    <t>203</t>
  </si>
  <si>
    <t>San Cristóbal y Nieves</t>
  </si>
  <si>
    <t>204</t>
  </si>
  <si>
    <t>San Marino</t>
  </si>
  <si>
    <t>205</t>
  </si>
  <si>
    <t>San Pedro y Miquelón (Francia)</t>
  </si>
  <si>
    <t>206</t>
  </si>
  <si>
    <t>Santa Helena (RU)</t>
  </si>
  <si>
    <t>207</t>
  </si>
  <si>
    <t>Santa Lucia</t>
  </si>
  <si>
    <t>208</t>
  </si>
  <si>
    <t>San Vicente y las Granadinas</t>
  </si>
  <si>
    <t>209</t>
  </si>
  <si>
    <t>Sao Tome y Principe</t>
  </si>
  <si>
    <t>210</t>
  </si>
  <si>
    <t>Senegal</t>
  </si>
  <si>
    <t>211</t>
  </si>
  <si>
    <t>Serbia</t>
  </si>
  <si>
    <t>212</t>
  </si>
  <si>
    <t>Seychelles</t>
  </si>
  <si>
    <t>213</t>
  </si>
  <si>
    <t>Sierra Leona</t>
  </si>
  <si>
    <t>214</t>
  </si>
  <si>
    <t>Singapur</t>
  </si>
  <si>
    <t>215</t>
  </si>
  <si>
    <t>Siria</t>
  </si>
  <si>
    <t>216</t>
  </si>
  <si>
    <t>Somalia</t>
  </si>
  <si>
    <t>217</t>
  </si>
  <si>
    <t>Sri Lanka</t>
  </si>
  <si>
    <t>218</t>
  </si>
  <si>
    <t>Suazilandia</t>
  </si>
  <si>
    <t>219</t>
  </si>
  <si>
    <t>Sudáfrica</t>
  </si>
  <si>
    <t>220</t>
  </si>
  <si>
    <t>Sudán</t>
  </si>
  <si>
    <t>221</t>
  </si>
  <si>
    <t>Sudán del Sur</t>
  </si>
  <si>
    <t>222</t>
  </si>
  <si>
    <t>Suecia</t>
  </si>
  <si>
    <t>223</t>
  </si>
  <si>
    <t>Suiza</t>
  </si>
  <si>
    <t>224</t>
  </si>
  <si>
    <t>Surinam</t>
  </si>
  <si>
    <t>225</t>
  </si>
  <si>
    <t>Tailandia</t>
  </si>
  <si>
    <t>226</t>
  </si>
  <si>
    <t>Taiwán</t>
  </si>
  <si>
    <t>227</t>
  </si>
  <si>
    <t>Tanzania</t>
  </si>
  <si>
    <t>228</t>
  </si>
  <si>
    <t>Tayikistán</t>
  </si>
  <si>
    <t>229</t>
  </si>
  <si>
    <t>Territorio Británico del Océano Índico (RU)</t>
  </si>
  <si>
    <t>230</t>
  </si>
  <si>
    <t>Tierras Australes y Antárticas Francesas (Francia)</t>
  </si>
  <si>
    <t>231</t>
  </si>
  <si>
    <t>Timor Oriental</t>
  </si>
  <si>
    <t>232</t>
  </si>
  <si>
    <t>Togo</t>
  </si>
  <si>
    <t>233</t>
  </si>
  <si>
    <t>Tokelau (Nueva Zelanda)</t>
  </si>
  <si>
    <t>234</t>
  </si>
  <si>
    <t>Tonga</t>
  </si>
  <si>
    <t>235</t>
  </si>
  <si>
    <t>Trinidad y Tobago</t>
  </si>
  <si>
    <t>236</t>
  </si>
  <si>
    <t>Túnez</t>
  </si>
  <si>
    <t>237</t>
  </si>
  <si>
    <t>Turcos y Caicos (RU)</t>
  </si>
  <si>
    <t>238</t>
  </si>
  <si>
    <t>Turkmenistán</t>
  </si>
  <si>
    <t>239</t>
  </si>
  <si>
    <t>Turquía</t>
  </si>
  <si>
    <t>240</t>
  </si>
  <si>
    <t>Tuvalú</t>
  </si>
  <si>
    <t>241</t>
  </si>
  <si>
    <t>Ucrania</t>
  </si>
  <si>
    <t>242</t>
  </si>
  <si>
    <t>Uganda</t>
  </si>
  <si>
    <t>243</t>
  </si>
  <si>
    <t>Uruguay</t>
  </si>
  <si>
    <t>244</t>
  </si>
  <si>
    <t>Uzbekistán</t>
  </si>
  <si>
    <t>245</t>
  </si>
  <si>
    <t>Vanuatu</t>
  </si>
  <si>
    <t>246</t>
  </si>
  <si>
    <t>Venezuela</t>
  </si>
  <si>
    <t>247</t>
  </si>
  <si>
    <t>Vietnam</t>
  </si>
  <si>
    <t>248</t>
  </si>
  <si>
    <t>Wallis y Futuna (Francia)</t>
  </si>
  <si>
    <t>249</t>
  </si>
  <si>
    <t>Yemen</t>
  </si>
  <si>
    <t>250</t>
  </si>
  <si>
    <t>Yibuti</t>
  </si>
  <si>
    <t>251</t>
  </si>
  <si>
    <t>Zambia</t>
  </si>
  <si>
    <t>252</t>
  </si>
  <si>
    <t>Zimbabwe</t>
  </si>
  <si>
    <t>253</t>
  </si>
  <si>
    <t>Kazajistán</t>
  </si>
  <si>
    <t>Item</t>
  </si>
  <si>
    <t>Estudiante</t>
  </si>
  <si>
    <t>Sí</t>
  </si>
  <si>
    <t>No</t>
  </si>
  <si>
    <t>idPais</t>
  </si>
  <si>
    <t>idTipoDocumento</t>
  </si>
  <si>
    <t>General</t>
  </si>
  <si>
    <t>Menor de edad entre 3 - 17 años</t>
  </si>
  <si>
    <t>General promocional</t>
  </si>
  <si>
    <t>Estudiante promocional</t>
  </si>
  <si>
    <t>Personas de 60 años a más</t>
  </si>
  <si>
    <t>Personas en servicio militar voluntario</t>
  </si>
  <si>
    <t>Profesores de educación básica</t>
  </si>
  <si>
    <t>Personas con discapacidad</t>
  </si>
  <si>
    <t>Veteranos de guerra</t>
  </si>
  <si>
    <t>Menor de edad entre 3-17 años promocional</t>
  </si>
  <si>
    <t>Tipo tarifa</t>
  </si>
  <si>
    <t>Cod File</t>
  </si>
  <si>
    <t>Procedencia</t>
  </si>
  <si>
    <t>Extranjero</t>
  </si>
  <si>
    <t>Peruano</t>
  </si>
  <si>
    <t>idProcedencia</t>
  </si>
  <si>
    <t>idTarifa</t>
  </si>
  <si>
    <t>Tarifa</t>
  </si>
  <si>
    <t>Fecha de nacimiento
dd-mm-aaaa</t>
  </si>
  <si>
    <t>Plantilla Carga Masiva - Llaqta</t>
  </si>
  <si>
    <t>DIE</t>
  </si>
  <si>
    <t>República de Kosovo</t>
  </si>
  <si>
    <t>CI</t>
  </si>
  <si>
    <t>Países CAN</t>
  </si>
  <si>
    <t>Residente extranjero</t>
  </si>
  <si>
    <t>Ciudadano cusqueño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</si>
</sst>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9"/>
      <color rgb="FF1F1F1F"/>
      <name val="Robot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1" fillId="0" borderId="0" xfId="0" applyFont="1"/>
    <xf numFmtId="14" fontId="2" fillId="0" borderId="1" xfId="1" applyNumberFormat="1" applyBorder="1"/>
    <xf numFmtId="49" fontId="4" fillId="0" borderId="0" xfId="0" applyNumberFormat="1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49" fontId="0" fillId="0" borderId="8" xfId="0" applyNumberFormat="1" applyBorder="1"/>
    <xf numFmtId="49" fontId="3" fillId="0" borderId="1" xfId="0" applyNumberFormat="1" applyFont="1" applyBorder="1"/>
  </cellXfs>
  <cellStyles count="2">
    <cellStyle name="Hipervínculo" xfId="1" builtinId="8"/>
    <cellStyle name="Normal" xfId="0" builtinId="0"/>
  </cellStyles>
  <dxfs count="2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3" tint="0.89996032593768116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Estilo de tabla 1" pivot="0" count="3" xr9:uid="{00000000-0011-0000-FFFF-FFFF00000000}">
      <tableStyleElement type="wholeTable" dxfId="22"/>
      <tableStyleElement type="headerRow" dxfId="21"/>
      <tableStyleElement type="firstRowStripe" dxfId="20"/>
    </tableStyle>
  </tableStyles>
  <colors>
    <mruColors>
      <color rgb="FFD5D9FD"/>
      <color rgb="FF190F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3:Q13" totalsRowShown="0" headerRowDxfId="19" headerRowBorderDxfId="18" tableBorderDxfId="17" totalsRowBorderDxfId="16">
  <autoFilter ref="B3:Q13" xr:uid="{00000000-0009-0000-0100-000001000000}"/>
  <sortState xmlns:xlrd2="http://schemas.microsoft.com/office/spreadsheetml/2017/richdata2" ref="B4:Q13">
    <sortCondition ref="E3:E13"/>
  </sortState>
  <tableColumns count="16">
    <tableColumn id="1" xr3:uid="{00000000-0010-0000-0000-000001000000}" name="Item" dataDxfId="15"/>
    <tableColumn id="13" xr3:uid="{00000000-0010-0000-0000-00000D000000}" name="Procedencia" dataDxfId="14"/>
    <tableColumn id="12" xr3:uid="{00000000-0010-0000-0000-00000C000000}" name="idProcedencia" dataDxfId="13">
      <calculatedColumnFormula>IFERROR(VLOOKUP(Tabla1[[#This Row],[Procedencia]],Tablas!$P$2:$Q$6,2,0),"0")</calculatedColumnFormula>
    </tableColumn>
    <tableColumn id="2" xr3:uid="{00000000-0010-0000-0000-000002000000}" name="País" dataDxfId="12"/>
    <tableColumn id="3" xr3:uid="{00000000-0010-0000-0000-000003000000}" name="idPais" dataDxfId="11">
      <calculatedColumnFormula>IFERROR(VLOOKUP(Tabla1[[#This Row],[País]],Tablas!$G$2:$H$255,2,0),"0")</calculatedColumnFormula>
    </tableColumn>
    <tableColumn id="19" xr3:uid="{00000000-0010-0000-0000-000013000000}" name="Tarifa" dataDxfId="10"/>
    <tableColumn id="14" xr3:uid="{00000000-0010-0000-0000-00000E000000}" name="idTarifa" dataDxfId="9"/>
    <tableColumn id="4" xr3:uid="{00000000-0010-0000-0000-000004000000}" name="Tipo de Documento" dataDxfId="8"/>
    <tableColumn id="5" xr3:uid="{00000000-0010-0000-0000-000005000000}" name="idTipoDocumento" dataDxfId="7">
      <calculatedColumnFormula>IFERROR(VLOOKUP(Tabla1[[#This Row],[Tipo de Documento]],Tablas!$D$2:$E$7,2,0),"0")</calculatedColumnFormula>
    </tableColumn>
    <tableColumn id="6" xr3:uid="{00000000-0010-0000-0000-000006000000}" name="Nro Documento" dataDxfId="6"/>
    <tableColumn id="20" xr3:uid="{00000000-0010-0000-0000-000014000000}" name="Fecha de nacimiento_x000a_dd-mm-aaaa" dataDxfId="5"/>
    <tableColumn id="16" xr3:uid="{00000000-0010-0000-0000-000010000000}" name="Nombres" dataDxfId="4"/>
    <tableColumn id="17" xr3:uid="{00000000-0010-0000-0000-000011000000}" name="Apellido Paterno" dataDxfId="3"/>
    <tableColumn id="7" xr3:uid="{00000000-0010-0000-0000-000007000000}" name="Apellido Materno" dataDxfId="2"/>
    <tableColumn id="22" xr3:uid="{00000000-0010-0000-0000-000016000000}" name="Cod File" dataDxfId="1"/>
    <tableColumn id="15" xr3:uid="{00000000-0010-0000-0000-00000F000000}" name="Sexo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C4" sqref="C4"/>
    </sheetView>
  </sheetViews>
  <sheetFormatPr baseColWidth="10" defaultRowHeight="15" x14ac:dyDescent="0.2"/>
  <cols>
    <col min="2" max="2" width="11.1640625" customWidth="1"/>
    <col min="3" max="3" width="16.33203125" customWidth="1"/>
    <col min="4" max="4" width="14" hidden="1" customWidth="1"/>
    <col min="5" max="5" width="17" customWidth="1"/>
    <col min="6" max="6" width="9.83203125" hidden="1" customWidth="1"/>
    <col min="7" max="7" width="33.5" customWidth="1"/>
    <col min="8" max="8" width="11.5" hidden="1" customWidth="1"/>
    <col min="9" max="9" width="18.1640625" customWidth="1"/>
    <col min="10" max="10" width="17.5" hidden="1" customWidth="1"/>
    <col min="11" max="11" width="17.1640625" customWidth="1"/>
    <col min="12" max="12" width="24.33203125" bestFit="1" customWidth="1"/>
    <col min="13" max="14" width="17.1640625" customWidth="1"/>
    <col min="15" max="15" width="19.33203125" customWidth="1"/>
    <col min="16" max="16" width="16.83203125" customWidth="1"/>
    <col min="17" max="17" width="12.1640625" customWidth="1"/>
  </cols>
  <sheetData>
    <row r="1" spans="1:17" ht="16" x14ac:dyDescent="0.2">
      <c r="A1" s="9" t="s">
        <v>550</v>
      </c>
      <c r="B1" s="9"/>
      <c r="E1" s="9"/>
    </row>
    <row r="2" spans="1:17" ht="16" x14ac:dyDescent="0.2">
      <c r="A2" s="13"/>
      <c r="B2" s="13"/>
      <c r="C2" s="12"/>
      <c r="D2" s="13"/>
      <c r="E2" s="13"/>
      <c r="F2" s="12"/>
      <c r="G2" s="13"/>
      <c r="H2" s="13"/>
      <c r="I2" s="12"/>
      <c r="J2" s="13"/>
      <c r="K2" s="13"/>
      <c r="L2" s="12"/>
      <c r="M2" s="13"/>
      <c r="N2" s="13"/>
      <c r="O2" s="12"/>
      <c r="P2" s="13"/>
      <c r="Q2" s="13"/>
    </row>
    <row r="3" spans="1:17" ht="35.25" customHeight="1" x14ac:dyDescent="0.2">
      <c r="B3" s="1" t="s">
        <v>525</v>
      </c>
      <c r="C3" s="2" t="s">
        <v>543</v>
      </c>
      <c r="D3" s="2" t="s">
        <v>546</v>
      </c>
      <c r="E3" s="2" t="s">
        <v>5</v>
      </c>
      <c r="F3" s="2" t="s">
        <v>529</v>
      </c>
      <c r="G3" s="2" t="s">
        <v>548</v>
      </c>
      <c r="H3" s="3" t="s">
        <v>547</v>
      </c>
      <c r="I3" s="2" t="s">
        <v>0</v>
      </c>
      <c r="J3" s="2" t="s">
        <v>530</v>
      </c>
      <c r="K3" s="2" t="s">
        <v>1</v>
      </c>
      <c r="L3" s="14" t="s">
        <v>549</v>
      </c>
      <c r="M3" s="2" t="s">
        <v>2</v>
      </c>
      <c r="N3" s="2" t="s">
        <v>3</v>
      </c>
      <c r="O3" s="2" t="s">
        <v>4</v>
      </c>
      <c r="P3" s="2" t="s">
        <v>542</v>
      </c>
      <c r="Q3" s="3" t="s">
        <v>6</v>
      </c>
    </row>
    <row r="4" spans="1:17" x14ac:dyDescent="0.2">
      <c r="B4" s="4">
        <v>1</v>
      </c>
      <c r="D4" t="str">
        <f>IFERROR(VLOOKUP(Tabla1[[#This Row],[Procedencia]],Tablas!$P$2:$Q$6,2,0),"0")</f>
        <v>0</v>
      </c>
      <c r="E4" s="5"/>
      <c r="F4" s="5" t="str">
        <f>IFERROR(VLOOKUP(Tabla1[[#This Row],[País]],Tablas!$G$2:$H$255,2,0),"0")</f>
        <v>0</v>
      </c>
      <c r="G4" s="10"/>
      <c r="H4" s="7" t="str">
        <f>IFERROR(VLOOKUP(Tabla1[[#This Row],[Tarifa]],Tablas!$M$2:$N$12,2,0),"0")</f>
        <v>0</v>
      </c>
      <c r="I4" s="5"/>
      <c r="J4" s="5" t="str">
        <f>IFERROR(VLOOKUP(Tabla1[[#This Row],[Tipo de Documento]],Tablas!$D$2:$E$7,2,0),"0")</f>
        <v>0</v>
      </c>
      <c r="K4" s="6"/>
      <c r="L4" s="11"/>
      <c r="M4" s="6"/>
      <c r="N4" s="6"/>
      <c r="O4" s="6"/>
      <c r="P4" s="12"/>
      <c r="Q4" s="7"/>
    </row>
    <row r="5" spans="1:17" x14ac:dyDescent="0.2">
      <c r="B5" s="4">
        <v>2</v>
      </c>
      <c r="D5" t="str">
        <f>IFERROR(VLOOKUP(Tabla1[[#This Row],[Procedencia]],Tablas!$P$2:$Q$6,2,0),"0")</f>
        <v>0</v>
      </c>
      <c r="E5" s="5"/>
      <c r="F5" s="5" t="str">
        <f>IFERROR(VLOOKUP(Tabla1[[#This Row],[País]],Tablas!$G$2:$H$255,2,0),"0")</f>
        <v>0</v>
      </c>
      <c r="G5" s="10"/>
      <c r="H5" s="7" t="str">
        <f>IFERROR(VLOOKUP(Tabla1[[#This Row],[Tarifa]],Tablas!$M$2:$N$12,2,0),"0")</f>
        <v>0</v>
      </c>
      <c r="I5" s="5"/>
      <c r="J5" s="5" t="str">
        <f>IFERROR(VLOOKUP(Tabla1[[#This Row],[Tipo de Documento]],Tablas!$D$2:$E$7,2,0),"0")</f>
        <v>0</v>
      </c>
      <c r="K5" s="6"/>
      <c r="L5" s="6"/>
      <c r="M5" s="6"/>
      <c r="N5" s="6"/>
      <c r="O5" s="6"/>
      <c r="P5" s="12"/>
      <c r="Q5" s="7"/>
    </row>
    <row r="6" spans="1:17" x14ac:dyDescent="0.2">
      <c r="B6" s="4">
        <v>3</v>
      </c>
      <c r="D6" t="str">
        <f>IFERROR(VLOOKUP(Tabla1[[#This Row],[Procedencia]],Tablas!$P$2:$Q$6,2,0),"0")</f>
        <v>0</v>
      </c>
      <c r="E6" s="5"/>
      <c r="F6" s="5" t="str">
        <f>IFERROR(VLOOKUP(Tabla1[[#This Row],[País]],Tablas!$G$2:$H$255,2,0),"0")</f>
        <v>0</v>
      </c>
      <c r="G6" s="10"/>
      <c r="H6" s="7" t="str">
        <f>IFERROR(VLOOKUP(Tabla1[[#This Row],[Tarifa]],Tablas!$M$2:$N$12,2,0),"0")</f>
        <v>0</v>
      </c>
      <c r="I6" s="5"/>
      <c r="J6" s="5" t="str">
        <f>IFERROR(VLOOKUP(Tabla1[[#This Row],[Tipo de Documento]],Tablas!$D$2:$E$7,2,0),"0")</f>
        <v>0</v>
      </c>
      <c r="K6" s="6"/>
      <c r="L6" s="6"/>
      <c r="M6" s="6"/>
      <c r="N6" s="6"/>
      <c r="O6" s="6"/>
      <c r="P6" s="12"/>
      <c r="Q6" s="7"/>
    </row>
    <row r="7" spans="1:17" x14ac:dyDescent="0.2">
      <c r="B7" s="4">
        <v>4</v>
      </c>
      <c r="D7" t="str">
        <f>IFERROR(VLOOKUP(Tabla1[[#This Row],[Procedencia]],Tablas!$P$2:$Q$6,2,0),"0")</f>
        <v>0</v>
      </c>
      <c r="E7" s="5"/>
      <c r="F7" s="5" t="str">
        <f>IFERROR(VLOOKUP(Tabla1[[#This Row],[País]],Tablas!$G$2:$H$255,2,0),"0")</f>
        <v>0</v>
      </c>
      <c r="G7" s="10"/>
      <c r="H7" s="7" t="str">
        <f>IFERROR(VLOOKUP(Tabla1[[#This Row],[Tarifa]],Tablas!$M$2:$N$12,2,0),"0")</f>
        <v>0</v>
      </c>
      <c r="I7" s="5"/>
      <c r="J7" s="5" t="str">
        <f>IFERROR(VLOOKUP(Tabla1[[#This Row],[Tipo de Documento]],Tablas!$D$2:$E$7,2,0),"0")</f>
        <v>0</v>
      </c>
      <c r="K7" s="6"/>
      <c r="L7" s="16"/>
      <c r="M7" s="6"/>
      <c r="N7" s="6"/>
      <c r="O7" s="6"/>
      <c r="P7" s="12"/>
      <c r="Q7" s="7"/>
    </row>
    <row r="8" spans="1:17" x14ac:dyDescent="0.2">
      <c r="B8" s="4">
        <v>5</v>
      </c>
      <c r="D8" t="str">
        <f>IFERROR(VLOOKUP(Tabla1[[#This Row],[Procedencia]],Tablas!$P$2:$Q$6,2,0),"0")</f>
        <v>0</v>
      </c>
      <c r="E8" s="5"/>
      <c r="F8" s="5" t="str">
        <f>IFERROR(VLOOKUP(Tabla1[[#This Row],[País]],Tablas!$G$2:$H$255,2,0),"0")</f>
        <v>0</v>
      </c>
      <c r="G8" s="10"/>
      <c r="H8" s="7" t="str">
        <f>IFERROR(VLOOKUP(Tabla1[[#This Row],[Tarifa]],Tablas!$M$2:$N$12,2,0),"0")</f>
        <v>0</v>
      </c>
      <c r="I8" s="5"/>
      <c r="J8" s="5" t="str">
        <f>IFERROR(VLOOKUP(Tabla1[[#This Row],[Tipo de Documento]],Tablas!$D$2:$E$7,2,0),"0")</f>
        <v>0</v>
      </c>
      <c r="K8" s="6"/>
      <c r="L8" s="6"/>
      <c r="M8" s="6"/>
      <c r="N8" s="6"/>
      <c r="O8" s="6"/>
      <c r="P8" s="12"/>
      <c r="Q8" s="7"/>
    </row>
    <row r="9" spans="1:17" x14ac:dyDescent="0.2">
      <c r="B9" s="4">
        <v>6</v>
      </c>
      <c r="D9" t="str">
        <f>IFERROR(VLOOKUP(Tabla1[[#This Row],[Procedencia]],Tablas!$P$2:$Q$6,2,0),"0")</f>
        <v>0</v>
      </c>
      <c r="E9" s="5"/>
      <c r="F9" s="5" t="str">
        <f>IFERROR(VLOOKUP(Tabla1[[#This Row],[País]],Tablas!$G$2:$H$255,2,0),"0")</f>
        <v>0</v>
      </c>
      <c r="G9" s="10"/>
      <c r="H9" s="7" t="str">
        <f>IFERROR(VLOOKUP(Tabla1[[#This Row],[Tarifa]],Tablas!$M$2:$N$12,2,0),"0")</f>
        <v>0</v>
      </c>
      <c r="I9" s="5"/>
      <c r="J9" s="5" t="str">
        <f>IFERROR(VLOOKUP(Tabla1[[#This Row],[Tipo de Documento]],Tablas!$D$2:$E$7,2,0),"0")</f>
        <v>0</v>
      </c>
      <c r="K9" s="6"/>
      <c r="L9" s="6"/>
      <c r="M9" s="6"/>
      <c r="N9" s="6"/>
      <c r="O9" s="6"/>
      <c r="P9" s="12"/>
      <c r="Q9" s="7"/>
    </row>
    <row r="10" spans="1:17" x14ac:dyDescent="0.2">
      <c r="B10" s="4">
        <v>7</v>
      </c>
      <c r="D10" t="str">
        <f>IFERROR(VLOOKUP(Tabla1[[#This Row],[Procedencia]],Tablas!$P$2:$Q$6,2,0),"0")</f>
        <v>0</v>
      </c>
      <c r="E10" s="5"/>
      <c r="F10" s="5" t="str">
        <f>IFERROR(VLOOKUP(Tabla1[[#This Row],[País]],Tablas!$G$2:$H$255,2,0),"0")</f>
        <v>0</v>
      </c>
      <c r="G10" s="10"/>
      <c r="H10" s="7" t="str">
        <f>IFERROR(VLOOKUP(Tabla1[[#This Row],[Tarifa]],Tablas!$M$2:$N$12,2,0),"0")</f>
        <v>0</v>
      </c>
      <c r="I10" s="5"/>
      <c r="J10" s="5" t="str">
        <f>IFERROR(VLOOKUP(Tabla1[[#This Row],[Tipo de Documento]],Tablas!$D$2:$E$7,2,0),"0")</f>
        <v>0</v>
      </c>
      <c r="K10" s="6"/>
      <c r="L10" s="6"/>
      <c r="M10" s="6"/>
      <c r="N10" s="6"/>
      <c r="O10" s="6"/>
      <c r="P10" s="12"/>
      <c r="Q10" s="7"/>
    </row>
    <row r="11" spans="1:17" x14ac:dyDescent="0.2">
      <c r="B11" s="4">
        <v>8</v>
      </c>
      <c r="D11" t="str">
        <f>IFERROR(VLOOKUP(Tabla1[[#This Row],[Procedencia]],Tablas!$P$2:$Q$6,2,0),"0")</f>
        <v>0</v>
      </c>
      <c r="E11" s="5"/>
      <c r="F11" s="5" t="str">
        <f>IFERROR(VLOOKUP(Tabla1[[#This Row],[País]],Tablas!$G$2:$H$255,2,0),"0")</f>
        <v>0</v>
      </c>
      <c r="G11" s="10"/>
      <c r="H11" s="7" t="str">
        <f>IFERROR(VLOOKUP(Tabla1[[#This Row],[Tarifa]],Tablas!$M$2:$N$12,2,0),"0")</f>
        <v>0</v>
      </c>
      <c r="I11" s="5"/>
      <c r="J11" s="5" t="str">
        <f>IFERROR(VLOOKUP(Tabla1[[#This Row],[Tipo de Documento]],Tablas!$D$2:$E$7,2,0),"0")</f>
        <v>0</v>
      </c>
      <c r="K11" s="6"/>
      <c r="L11" s="6"/>
      <c r="M11" s="6"/>
      <c r="N11" s="6"/>
      <c r="O11" s="6"/>
      <c r="P11" s="12"/>
      <c r="Q11" s="7"/>
    </row>
    <row r="12" spans="1:17" x14ac:dyDescent="0.2">
      <c r="B12" s="4">
        <v>9</v>
      </c>
      <c r="D12" t="str">
        <f>IFERROR(VLOOKUP(Tabla1[[#This Row],[Procedencia]],Tablas!$P$2:$Q$6,2,0),"0")</f>
        <v>0</v>
      </c>
      <c r="E12" s="5"/>
      <c r="F12" s="5" t="str">
        <f>IFERROR(VLOOKUP(Tabla1[[#This Row],[País]],Tablas!$G$2:$H$255,2,0),"0")</f>
        <v>0</v>
      </c>
      <c r="G12" s="10"/>
      <c r="H12" s="7" t="str">
        <f>IFERROR(VLOOKUP(Tabla1[[#This Row],[Tarifa]],Tablas!$M$2:$N$12,2,0),"0")</f>
        <v>0</v>
      </c>
      <c r="I12" s="5"/>
      <c r="J12" s="5" t="str">
        <f>IFERROR(VLOOKUP(Tabla1[[#This Row],[Tipo de Documento]],Tablas!$D$2:$E$7,2,0),"0")</f>
        <v>0</v>
      </c>
      <c r="K12" s="6"/>
      <c r="L12" s="6"/>
      <c r="M12" s="6"/>
      <c r="N12" s="6"/>
      <c r="O12" s="6"/>
      <c r="P12" s="12"/>
      <c r="Q12" s="7"/>
    </row>
    <row r="13" spans="1:17" x14ac:dyDescent="0.2">
      <c r="B13" s="8">
        <v>10</v>
      </c>
      <c r="D13" t="str">
        <f>IFERROR(VLOOKUP(Tabla1[[#This Row],[Procedencia]],Tablas!$P$2:$Q$6,2,0),"0")</f>
        <v>0</v>
      </c>
      <c r="E13" s="5"/>
      <c r="F13" s="5" t="str">
        <f>IFERROR(VLOOKUP(Tabla1[[#This Row],[País]],Tablas!$G$2:$H$255,2,0),"0")</f>
        <v>0</v>
      </c>
      <c r="G13" s="10"/>
      <c r="H13" s="7" t="str">
        <f>IFERROR(VLOOKUP(Tabla1[[#This Row],[Tarifa]],Tablas!$M$2:$N$12,2,0),"0")</f>
        <v>0</v>
      </c>
      <c r="I13" s="5"/>
      <c r="J13" s="5" t="str">
        <f>IFERROR(VLOOKUP(Tabla1[[#This Row],[Tipo de Documento]],Tablas!$D$2:$E$7,2,0),"0")</f>
        <v>0</v>
      </c>
      <c r="K13" s="15"/>
      <c r="L13" s="15"/>
      <c r="M13" s="15"/>
      <c r="N13" s="15"/>
      <c r="O13" s="15"/>
      <c r="P13" s="12"/>
      <c r="Q13" s="7"/>
    </row>
  </sheetData>
  <dataValidations count="5">
    <dataValidation type="list" allowBlank="1" showInputMessage="1" showErrorMessage="1" sqref="Q4:Q13" xr:uid="{00000000-0002-0000-0000-000000000000}">
      <formula1>listaSexo</formula1>
    </dataValidation>
    <dataValidation type="list" allowBlank="1" showInputMessage="1" showErrorMessage="1" sqref="I4:I13" xr:uid="{00000000-0002-0000-0000-000001000000}">
      <formula1>tdocLista</formula1>
    </dataValidation>
    <dataValidation type="list" allowBlank="1" showInputMessage="1" showErrorMessage="1" sqref="E4:E13" xr:uid="{00000000-0002-0000-0000-000002000000}">
      <formula1>paisesLista</formula1>
    </dataValidation>
    <dataValidation type="list" allowBlank="1" showInputMessage="1" showErrorMessage="1" sqref="G4:G13" xr:uid="{00000000-0002-0000-0000-000003000000}">
      <formula1>tarifasLista</formula1>
    </dataValidation>
    <dataValidation type="list" allowBlank="1" showInputMessage="1" showErrorMessage="1" sqref="C4:C13" xr:uid="{00000000-0002-0000-0000-000004000000}">
      <formula1>procedenciaLista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5"/>
  <sheetViews>
    <sheetView workbookViewId="0">
      <selection activeCell="P12" sqref="P12"/>
    </sheetView>
  </sheetViews>
  <sheetFormatPr baseColWidth="10" defaultRowHeight="15" x14ac:dyDescent="0.2"/>
  <cols>
    <col min="3" max="3" width="7.5" customWidth="1"/>
    <col min="4" max="4" width="16" customWidth="1"/>
    <col min="7" max="7" width="26.6640625" customWidth="1"/>
    <col min="8" max="8" width="19.6640625" customWidth="1"/>
    <col min="9" max="9" width="3" customWidth="1"/>
    <col min="12" max="12" width="7.83203125" customWidth="1"/>
    <col min="13" max="13" width="30" customWidth="1"/>
    <col min="14" max="14" width="6" customWidth="1"/>
    <col min="16" max="16" width="31.5" customWidth="1"/>
  </cols>
  <sheetData>
    <row r="1" spans="1:17" x14ac:dyDescent="0.2">
      <c r="A1" t="s">
        <v>8</v>
      </c>
      <c r="B1" t="s">
        <v>7</v>
      </c>
      <c r="D1" t="s">
        <v>11</v>
      </c>
      <c r="E1" t="s">
        <v>12</v>
      </c>
      <c r="G1" t="s">
        <v>20</v>
      </c>
      <c r="H1" t="s">
        <v>19</v>
      </c>
      <c r="J1" t="s">
        <v>526</v>
      </c>
      <c r="K1" t="s">
        <v>7</v>
      </c>
      <c r="M1" t="s">
        <v>541</v>
      </c>
      <c r="N1" t="s">
        <v>7</v>
      </c>
      <c r="P1" t="s">
        <v>543</v>
      </c>
      <c r="Q1" t="s">
        <v>12</v>
      </c>
    </row>
    <row r="2" spans="1:17" x14ac:dyDescent="0.2">
      <c r="A2" t="s">
        <v>9</v>
      </c>
      <c r="B2" t="s">
        <v>9</v>
      </c>
      <c r="D2" t="s">
        <v>13</v>
      </c>
      <c r="E2">
        <v>1</v>
      </c>
      <c r="G2" t="s">
        <v>18</v>
      </c>
      <c r="H2" t="s">
        <v>17</v>
      </c>
      <c r="J2" t="s">
        <v>527</v>
      </c>
      <c r="K2">
        <v>1</v>
      </c>
      <c r="M2" t="s">
        <v>531</v>
      </c>
      <c r="N2">
        <v>1</v>
      </c>
      <c r="P2" t="s">
        <v>544</v>
      </c>
      <c r="Q2">
        <v>1</v>
      </c>
    </row>
    <row r="3" spans="1:17" x14ac:dyDescent="0.2">
      <c r="A3" t="s">
        <v>10</v>
      </c>
      <c r="B3" t="s">
        <v>10</v>
      </c>
      <c r="D3" t="s">
        <v>14</v>
      </c>
      <c r="E3">
        <v>2</v>
      </c>
      <c r="G3" t="s">
        <v>22</v>
      </c>
      <c r="H3" t="s">
        <v>21</v>
      </c>
      <c r="J3" t="s">
        <v>528</v>
      </c>
      <c r="K3">
        <v>2</v>
      </c>
      <c r="M3" t="s">
        <v>526</v>
      </c>
      <c r="N3">
        <v>2</v>
      </c>
      <c r="P3" t="s">
        <v>545</v>
      </c>
      <c r="Q3">
        <v>2</v>
      </c>
    </row>
    <row r="4" spans="1:17" x14ac:dyDescent="0.2">
      <c r="D4" t="s">
        <v>15</v>
      </c>
      <c r="E4">
        <v>3</v>
      </c>
      <c r="G4" t="s">
        <v>24</v>
      </c>
      <c r="H4" t="s">
        <v>23</v>
      </c>
      <c r="M4" t="s">
        <v>532</v>
      </c>
      <c r="N4">
        <v>3</v>
      </c>
      <c r="P4" t="s">
        <v>556</v>
      </c>
      <c r="Q4">
        <v>4</v>
      </c>
    </row>
    <row r="5" spans="1:17" x14ac:dyDescent="0.2">
      <c r="D5" t="s">
        <v>16</v>
      </c>
      <c r="E5">
        <v>4</v>
      </c>
      <c r="G5" t="s">
        <v>26</v>
      </c>
      <c r="H5" t="s">
        <v>25</v>
      </c>
      <c r="M5" t="s">
        <v>533</v>
      </c>
      <c r="N5">
        <v>4</v>
      </c>
      <c r="P5" t="s">
        <v>554</v>
      </c>
      <c r="Q5">
        <v>7</v>
      </c>
    </row>
    <row r="6" spans="1:17" x14ac:dyDescent="0.2">
      <c r="D6" t="s">
        <v>551</v>
      </c>
      <c r="E6">
        <v>7</v>
      </c>
      <c r="G6" t="s">
        <v>28</v>
      </c>
      <c r="H6" t="s">
        <v>27</v>
      </c>
      <c r="M6" t="s">
        <v>534</v>
      </c>
      <c r="N6">
        <v>5</v>
      </c>
      <c r="P6" t="s">
        <v>555</v>
      </c>
      <c r="Q6">
        <v>8</v>
      </c>
    </row>
    <row r="7" spans="1:17" x14ac:dyDescent="0.2">
      <c r="D7" t="s">
        <v>553</v>
      </c>
      <c r="E7">
        <v>8</v>
      </c>
      <c r="G7" t="s">
        <v>30</v>
      </c>
      <c r="H7" t="s">
        <v>29</v>
      </c>
      <c r="M7" t="s">
        <v>540</v>
      </c>
      <c r="N7">
        <v>6</v>
      </c>
    </row>
    <row r="8" spans="1:17" x14ac:dyDescent="0.2">
      <c r="G8" t="s">
        <v>32</v>
      </c>
      <c r="H8" t="s">
        <v>31</v>
      </c>
      <c r="M8" t="s">
        <v>535</v>
      </c>
      <c r="N8">
        <v>7</v>
      </c>
    </row>
    <row r="9" spans="1:17" x14ac:dyDescent="0.2">
      <c r="G9" t="s">
        <v>34</v>
      </c>
      <c r="H9" t="s">
        <v>33</v>
      </c>
      <c r="M9" t="s">
        <v>536</v>
      </c>
      <c r="N9">
        <v>8</v>
      </c>
    </row>
    <row r="10" spans="1:17" x14ac:dyDescent="0.2">
      <c r="G10" t="s">
        <v>36</v>
      </c>
      <c r="H10" t="s">
        <v>35</v>
      </c>
      <c r="M10" t="s">
        <v>537</v>
      </c>
      <c r="N10">
        <v>9</v>
      </c>
    </row>
    <row r="11" spans="1:17" x14ac:dyDescent="0.2">
      <c r="G11" t="s">
        <v>38</v>
      </c>
      <c r="H11" t="s">
        <v>37</v>
      </c>
      <c r="M11" t="s">
        <v>538</v>
      </c>
      <c r="N11">
        <v>10</v>
      </c>
    </row>
    <row r="12" spans="1:17" x14ac:dyDescent="0.2">
      <c r="G12" t="s">
        <v>40</v>
      </c>
      <c r="H12" t="s">
        <v>39</v>
      </c>
      <c r="M12" t="s">
        <v>539</v>
      </c>
      <c r="N12">
        <v>11</v>
      </c>
    </row>
    <row r="13" spans="1:17" x14ac:dyDescent="0.2">
      <c r="G13" t="s">
        <v>42</v>
      </c>
      <c r="H13" t="s">
        <v>41</v>
      </c>
    </row>
    <row r="14" spans="1:17" x14ac:dyDescent="0.2">
      <c r="G14" t="s">
        <v>44</v>
      </c>
      <c r="H14" t="s">
        <v>43</v>
      </c>
    </row>
    <row r="15" spans="1:17" x14ac:dyDescent="0.2">
      <c r="G15" t="s">
        <v>46</v>
      </c>
      <c r="H15" t="s">
        <v>45</v>
      </c>
    </row>
    <row r="16" spans="1:17" x14ac:dyDescent="0.2">
      <c r="G16" t="s">
        <v>48</v>
      </c>
      <c r="H16" t="s">
        <v>47</v>
      </c>
    </row>
    <row r="17" spans="7:8" x14ac:dyDescent="0.2">
      <c r="G17" t="s">
        <v>50</v>
      </c>
      <c r="H17" t="s">
        <v>49</v>
      </c>
    </row>
    <row r="18" spans="7:8" x14ac:dyDescent="0.2">
      <c r="G18" t="s">
        <v>52</v>
      </c>
      <c r="H18" t="s">
        <v>51</v>
      </c>
    </row>
    <row r="19" spans="7:8" x14ac:dyDescent="0.2">
      <c r="G19" t="s">
        <v>54</v>
      </c>
      <c r="H19" t="s">
        <v>53</v>
      </c>
    </row>
    <row r="20" spans="7:8" x14ac:dyDescent="0.2">
      <c r="G20" t="s">
        <v>56</v>
      </c>
      <c r="H20" t="s">
        <v>55</v>
      </c>
    </row>
    <row r="21" spans="7:8" x14ac:dyDescent="0.2">
      <c r="G21" t="s">
        <v>58</v>
      </c>
      <c r="H21" t="s">
        <v>57</v>
      </c>
    </row>
    <row r="22" spans="7:8" x14ac:dyDescent="0.2">
      <c r="G22" t="s">
        <v>60</v>
      </c>
      <c r="H22" t="s">
        <v>59</v>
      </c>
    </row>
    <row r="23" spans="7:8" x14ac:dyDescent="0.2">
      <c r="G23" t="s">
        <v>62</v>
      </c>
      <c r="H23" t="s">
        <v>61</v>
      </c>
    </row>
    <row r="24" spans="7:8" x14ac:dyDescent="0.2">
      <c r="G24" t="s">
        <v>64</v>
      </c>
      <c r="H24" t="s">
        <v>63</v>
      </c>
    </row>
    <row r="25" spans="7:8" x14ac:dyDescent="0.2">
      <c r="G25" t="s">
        <v>66</v>
      </c>
      <c r="H25" t="s">
        <v>65</v>
      </c>
    </row>
    <row r="26" spans="7:8" x14ac:dyDescent="0.2">
      <c r="G26" t="s">
        <v>68</v>
      </c>
      <c r="H26" t="s">
        <v>67</v>
      </c>
    </row>
    <row r="27" spans="7:8" x14ac:dyDescent="0.2">
      <c r="G27" t="s">
        <v>70</v>
      </c>
      <c r="H27" t="s">
        <v>69</v>
      </c>
    </row>
    <row r="28" spans="7:8" x14ac:dyDescent="0.2">
      <c r="G28" t="s">
        <v>72</v>
      </c>
      <c r="H28" t="s">
        <v>71</v>
      </c>
    </row>
    <row r="29" spans="7:8" x14ac:dyDescent="0.2">
      <c r="G29" t="s">
        <v>74</v>
      </c>
      <c r="H29" t="s">
        <v>73</v>
      </c>
    </row>
    <row r="30" spans="7:8" x14ac:dyDescent="0.2">
      <c r="G30" t="s">
        <v>76</v>
      </c>
      <c r="H30" t="s">
        <v>75</v>
      </c>
    </row>
    <row r="31" spans="7:8" x14ac:dyDescent="0.2">
      <c r="G31" t="s">
        <v>78</v>
      </c>
      <c r="H31" t="s">
        <v>77</v>
      </c>
    </row>
    <row r="32" spans="7:8" x14ac:dyDescent="0.2">
      <c r="G32" t="s">
        <v>80</v>
      </c>
      <c r="H32" t="s">
        <v>79</v>
      </c>
    </row>
    <row r="33" spans="7:8" x14ac:dyDescent="0.2">
      <c r="G33" t="s">
        <v>82</v>
      </c>
      <c r="H33" t="s">
        <v>81</v>
      </c>
    </row>
    <row r="34" spans="7:8" x14ac:dyDescent="0.2">
      <c r="G34" t="s">
        <v>84</v>
      </c>
      <c r="H34" t="s">
        <v>83</v>
      </c>
    </row>
    <row r="35" spans="7:8" x14ac:dyDescent="0.2">
      <c r="G35" t="s">
        <v>86</v>
      </c>
      <c r="H35" t="s">
        <v>85</v>
      </c>
    </row>
    <row r="36" spans="7:8" x14ac:dyDescent="0.2">
      <c r="G36" t="s">
        <v>88</v>
      </c>
      <c r="H36" t="s">
        <v>87</v>
      </c>
    </row>
    <row r="37" spans="7:8" x14ac:dyDescent="0.2">
      <c r="G37" t="s">
        <v>90</v>
      </c>
      <c r="H37" t="s">
        <v>89</v>
      </c>
    </row>
    <row r="38" spans="7:8" x14ac:dyDescent="0.2">
      <c r="G38" t="s">
        <v>92</v>
      </c>
      <c r="H38" t="s">
        <v>91</v>
      </c>
    </row>
    <row r="39" spans="7:8" x14ac:dyDescent="0.2">
      <c r="G39" t="s">
        <v>94</v>
      </c>
      <c r="H39" t="s">
        <v>93</v>
      </c>
    </row>
    <row r="40" spans="7:8" x14ac:dyDescent="0.2">
      <c r="G40" t="s">
        <v>96</v>
      </c>
      <c r="H40" t="s">
        <v>95</v>
      </c>
    </row>
    <row r="41" spans="7:8" x14ac:dyDescent="0.2">
      <c r="G41" t="s">
        <v>98</v>
      </c>
      <c r="H41" t="s">
        <v>97</v>
      </c>
    </row>
    <row r="42" spans="7:8" x14ac:dyDescent="0.2">
      <c r="G42" t="s">
        <v>100</v>
      </c>
      <c r="H42" t="s">
        <v>99</v>
      </c>
    </row>
    <row r="43" spans="7:8" x14ac:dyDescent="0.2">
      <c r="G43" t="s">
        <v>102</v>
      </c>
      <c r="H43" t="s">
        <v>101</v>
      </c>
    </row>
    <row r="44" spans="7:8" x14ac:dyDescent="0.2">
      <c r="G44" t="s">
        <v>104</v>
      </c>
      <c r="H44" t="s">
        <v>103</v>
      </c>
    </row>
    <row r="45" spans="7:8" x14ac:dyDescent="0.2">
      <c r="G45" t="s">
        <v>106</v>
      </c>
      <c r="H45" t="s">
        <v>105</v>
      </c>
    </row>
    <row r="46" spans="7:8" x14ac:dyDescent="0.2">
      <c r="G46" t="s">
        <v>108</v>
      </c>
      <c r="H46" t="s">
        <v>107</v>
      </c>
    </row>
    <row r="47" spans="7:8" x14ac:dyDescent="0.2">
      <c r="G47" t="s">
        <v>110</v>
      </c>
      <c r="H47" t="s">
        <v>109</v>
      </c>
    </row>
    <row r="48" spans="7:8" x14ac:dyDescent="0.2">
      <c r="G48" t="s">
        <v>112</v>
      </c>
      <c r="H48" t="s">
        <v>111</v>
      </c>
    </row>
    <row r="49" spans="7:8" x14ac:dyDescent="0.2">
      <c r="G49" t="s">
        <v>114</v>
      </c>
      <c r="H49" t="s">
        <v>113</v>
      </c>
    </row>
    <row r="50" spans="7:8" x14ac:dyDescent="0.2">
      <c r="G50" t="s">
        <v>116</v>
      </c>
      <c r="H50" t="s">
        <v>115</v>
      </c>
    </row>
    <row r="51" spans="7:8" x14ac:dyDescent="0.2">
      <c r="G51" t="s">
        <v>118</v>
      </c>
      <c r="H51" t="s">
        <v>117</v>
      </c>
    </row>
    <row r="52" spans="7:8" x14ac:dyDescent="0.2">
      <c r="G52" t="s">
        <v>120</v>
      </c>
      <c r="H52" t="s">
        <v>119</v>
      </c>
    </row>
    <row r="53" spans="7:8" x14ac:dyDescent="0.2">
      <c r="G53" t="s">
        <v>122</v>
      </c>
      <c r="H53" t="s">
        <v>121</v>
      </c>
    </row>
    <row r="54" spans="7:8" x14ac:dyDescent="0.2">
      <c r="G54" t="s">
        <v>124</v>
      </c>
      <c r="H54" t="s">
        <v>123</v>
      </c>
    </row>
    <row r="55" spans="7:8" x14ac:dyDescent="0.2">
      <c r="G55" t="s">
        <v>126</v>
      </c>
      <c r="H55" t="s">
        <v>125</v>
      </c>
    </row>
    <row r="56" spans="7:8" x14ac:dyDescent="0.2">
      <c r="G56" t="s">
        <v>128</v>
      </c>
      <c r="H56" t="s">
        <v>127</v>
      </c>
    </row>
    <row r="57" spans="7:8" x14ac:dyDescent="0.2">
      <c r="G57" t="s">
        <v>130</v>
      </c>
      <c r="H57" t="s">
        <v>129</v>
      </c>
    </row>
    <row r="58" spans="7:8" x14ac:dyDescent="0.2">
      <c r="G58" t="s">
        <v>132</v>
      </c>
      <c r="H58" t="s">
        <v>131</v>
      </c>
    </row>
    <row r="59" spans="7:8" x14ac:dyDescent="0.2">
      <c r="G59" t="s">
        <v>134</v>
      </c>
      <c r="H59" t="s">
        <v>133</v>
      </c>
    </row>
    <row r="60" spans="7:8" x14ac:dyDescent="0.2">
      <c r="G60" t="s">
        <v>136</v>
      </c>
      <c r="H60" t="s">
        <v>135</v>
      </c>
    </row>
    <row r="61" spans="7:8" x14ac:dyDescent="0.2">
      <c r="G61" t="s">
        <v>138</v>
      </c>
      <c r="H61" t="s">
        <v>137</v>
      </c>
    </row>
    <row r="62" spans="7:8" x14ac:dyDescent="0.2">
      <c r="G62" t="s">
        <v>140</v>
      </c>
      <c r="H62" t="s">
        <v>139</v>
      </c>
    </row>
    <row r="63" spans="7:8" x14ac:dyDescent="0.2">
      <c r="G63" t="s">
        <v>142</v>
      </c>
      <c r="H63" t="s">
        <v>141</v>
      </c>
    </row>
    <row r="64" spans="7:8" x14ac:dyDescent="0.2">
      <c r="G64" t="s">
        <v>144</v>
      </c>
      <c r="H64" t="s">
        <v>143</v>
      </c>
    </row>
    <row r="65" spans="7:8" x14ac:dyDescent="0.2">
      <c r="G65" t="s">
        <v>146</v>
      </c>
      <c r="H65" t="s">
        <v>145</v>
      </c>
    </row>
    <row r="66" spans="7:8" x14ac:dyDescent="0.2">
      <c r="G66" t="s">
        <v>148</v>
      </c>
      <c r="H66" t="s">
        <v>147</v>
      </c>
    </row>
    <row r="67" spans="7:8" x14ac:dyDescent="0.2">
      <c r="G67" t="s">
        <v>150</v>
      </c>
      <c r="H67" t="s">
        <v>149</v>
      </c>
    </row>
    <row r="68" spans="7:8" x14ac:dyDescent="0.2">
      <c r="G68" t="s">
        <v>152</v>
      </c>
      <c r="H68" t="s">
        <v>151</v>
      </c>
    </row>
    <row r="69" spans="7:8" x14ac:dyDescent="0.2">
      <c r="G69" t="s">
        <v>154</v>
      </c>
      <c r="H69" t="s">
        <v>153</v>
      </c>
    </row>
    <row r="70" spans="7:8" x14ac:dyDescent="0.2">
      <c r="G70" t="s">
        <v>156</v>
      </c>
      <c r="H70" t="s">
        <v>155</v>
      </c>
    </row>
    <row r="71" spans="7:8" x14ac:dyDescent="0.2">
      <c r="G71" t="s">
        <v>158</v>
      </c>
      <c r="H71" t="s">
        <v>157</v>
      </c>
    </row>
    <row r="72" spans="7:8" x14ac:dyDescent="0.2">
      <c r="G72" t="s">
        <v>160</v>
      </c>
      <c r="H72" t="s">
        <v>159</v>
      </c>
    </row>
    <row r="73" spans="7:8" x14ac:dyDescent="0.2">
      <c r="G73" t="s">
        <v>162</v>
      </c>
      <c r="H73" t="s">
        <v>161</v>
      </c>
    </row>
    <row r="74" spans="7:8" x14ac:dyDescent="0.2">
      <c r="G74" t="s">
        <v>164</v>
      </c>
      <c r="H74" t="s">
        <v>163</v>
      </c>
    </row>
    <row r="75" spans="7:8" x14ac:dyDescent="0.2">
      <c r="G75" t="s">
        <v>166</v>
      </c>
      <c r="H75" t="s">
        <v>165</v>
      </c>
    </row>
    <row r="76" spans="7:8" x14ac:dyDescent="0.2">
      <c r="G76" t="s">
        <v>168</v>
      </c>
      <c r="H76" t="s">
        <v>167</v>
      </c>
    </row>
    <row r="77" spans="7:8" x14ac:dyDescent="0.2">
      <c r="G77" t="s">
        <v>170</v>
      </c>
      <c r="H77" t="s">
        <v>169</v>
      </c>
    </row>
    <row r="78" spans="7:8" x14ac:dyDescent="0.2">
      <c r="G78" t="s">
        <v>172</v>
      </c>
      <c r="H78" t="s">
        <v>171</v>
      </c>
    </row>
    <row r="79" spans="7:8" x14ac:dyDescent="0.2">
      <c r="G79" t="s">
        <v>174</v>
      </c>
      <c r="H79" t="s">
        <v>173</v>
      </c>
    </row>
    <row r="80" spans="7:8" x14ac:dyDescent="0.2">
      <c r="G80" t="s">
        <v>176</v>
      </c>
      <c r="H80" t="s">
        <v>175</v>
      </c>
    </row>
    <row r="81" spans="7:8" x14ac:dyDescent="0.2">
      <c r="G81" t="s">
        <v>178</v>
      </c>
      <c r="H81" t="s">
        <v>177</v>
      </c>
    </row>
    <row r="82" spans="7:8" x14ac:dyDescent="0.2">
      <c r="G82" t="s">
        <v>180</v>
      </c>
      <c r="H82" t="s">
        <v>179</v>
      </c>
    </row>
    <row r="83" spans="7:8" x14ac:dyDescent="0.2">
      <c r="G83" t="s">
        <v>182</v>
      </c>
      <c r="H83" t="s">
        <v>181</v>
      </c>
    </row>
    <row r="84" spans="7:8" x14ac:dyDescent="0.2">
      <c r="G84" t="s">
        <v>184</v>
      </c>
      <c r="H84" t="s">
        <v>183</v>
      </c>
    </row>
    <row r="85" spans="7:8" x14ac:dyDescent="0.2">
      <c r="G85" t="s">
        <v>186</v>
      </c>
      <c r="H85" t="s">
        <v>185</v>
      </c>
    </row>
    <row r="86" spans="7:8" x14ac:dyDescent="0.2">
      <c r="G86" t="s">
        <v>188</v>
      </c>
      <c r="H86" t="s">
        <v>187</v>
      </c>
    </row>
    <row r="87" spans="7:8" x14ac:dyDescent="0.2">
      <c r="G87" t="s">
        <v>190</v>
      </c>
      <c r="H87" t="s">
        <v>189</v>
      </c>
    </row>
    <row r="88" spans="7:8" x14ac:dyDescent="0.2">
      <c r="G88" t="s">
        <v>192</v>
      </c>
      <c r="H88" t="s">
        <v>191</v>
      </c>
    </row>
    <row r="89" spans="7:8" x14ac:dyDescent="0.2">
      <c r="G89" t="s">
        <v>194</v>
      </c>
      <c r="H89" t="s">
        <v>193</v>
      </c>
    </row>
    <row r="90" spans="7:8" x14ac:dyDescent="0.2">
      <c r="G90" t="s">
        <v>196</v>
      </c>
      <c r="H90" t="s">
        <v>195</v>
      </c>
    </row>
    <row r="91" spans="7:8" x14ac:dyDescent="0.2">
      <c r="G91" t="s">
        <v>198</v>
      </c>
      <c r="H91" t="s">
        <v>197</v>
      </c>
    </row>
    <row r="92" spans="7:8" x14ac:dyDescent="0.2">
      <c r="G92" t="s">
        <v>200</v>
      </c>
      <c r="H92" t="s">
        <v>199</v>
      </c>
    </row>
    <row r="93" spans="7:8" x14ac:dyDescent="0.2">
      <c r="G93" t="s">
        <v>202</v>
      </c>
      <c r="H93" t="s">
        <v>201</v>
      </c>
    </row>
    <row r="94" spans="7:8" x14ac:dyDescent="0.2">
      <c r="G94" t="s">
        <v>204</v>
      </c>
      <c r="H94" t="s">
        <v>203</v>
      </c>
    </row>
    <row r="95" spans="7:8" x14ac:dyDescent="0.2">
      <c r="G95" t="s">
        <v>206</v>
      </c>
      <c r="H95" t="s">
        <v>205</v>
      </c>
    </row>
    <row r="96" spans="7:8" x14ac:dyDescent="0.2">
      <c r="G96" t="s">
        <v>208</v>
      </c>
      <c r="H96" t="s">
        <v>207</v>
      </c>
    </row>
    <row r="97" spans="7:8" x14ac:dyDescent="0.2">
      <c r="G97" t="s">
        <v>210</v>
      </c>
      <c r="H97" t="s">
        <v>209</v>
      </c>
    </row>
    <row r="98" spans="7:8" x14ac:dyDescent="0.2">
      <c r="G98" t="s">
        <v>212</v>
      </c>
      <c r="H98" t="s">
        <v>211</v>
      </c>
    </row>
    <row r="99" spans="7:8" x14ac:dyDescent="0.2">
      <c r="G99" t="s">
        <v>214</v>
      </c>
      <c r="H99" t="s">
        <v>213</v>
      </c>
    </row>
    <row r="100" spans="7:8" x14ac:dyDescent="0.2">
      <c r="G100" t="s">
        <v>216</v>
      </c>
      <c r="H100" t="s">
        <v>215</v>
      </c>
    </row>
    <row r="101" spans="7:8" x14ac:dyDescent="0.2">
      <c r="G101" t="s">
        <v>218</v>
      </c>
      <c r="H101" t="s">
        <v>217</v>
      </c>
    </row>
    <row r="102" spans="7:8" x14ac:dyDescent="0.2">
      <c r="G102" t="s">
        <v>220</v>
      </c>
      <c r="H102" t="s">
        <v>219</v>
      </c>
    </row>
    <row r="103" spans="7:8" x14ac:dyDescent="0.2">
      <c r="G103" t="s">
        <v>222</v>
      </c>
      <c r="H103" t="s">
        <v>221</v>
      </c>
    </row>
    <row r="104" spans="7:8" x14ac:dyDescent="0.2">
      <c r="G104" t="s">
        <v>224</v>
      </c>
      <c r="H104" t="s">
        <v>223</v>
      </c>
    </row>
    <row r="105" spans="7:8" x14ac:dyDescent="0.2">
      <c r="G105" t="s">
        <v>226</v>
      </c>
      <c r="H105" t="s">
        <v>225</v>
      </c>
    </row>
    <row r="106" spans="7:8" x14ac:dyDescent="0.2">
      <c r="G106" t="s">
        <v>228</v>
      </c>
      <c r="H106" t="s">
        <v>227</v>
      </c>
    </row>
    <row r="107" spans="7:8" x14ac:dyDescent="0.2">
      <c r="G107" t="s">
        <v>230</v>
      </c>
      <c r="H107" t="s">
        <v>229</v>
      </c>
    </row>
    <row r="108" spans="7:8" x14ac:dyDescent="0.2">
      <c r="G108" t="s">
        <v>232</v>
      </c>
      <c r="H108" t="s">
        <v>231</v>
      </c>
    </row>
    <row r="109" spans="7:8" x14ac:dyDescent="0.2">
      <c r="G109" t="s">
        <v>234</v>
      </c>
      <c r="H109" t="s">
        <v>233</v>
      </c>
    </row>
    <row r="110" spans="7:8" x14ac:dyDescent="0.2">
      <c r="G110" t="s">
        <v>236</v>
      </c>
      <c r="H110" t="s">
        <v>235</v>
      </c>
    </row>
    <row r="111" spans="7:8" x14ac:dyDescent="0.2">
      <c r="G111" t="s">
        <v>238</v>
      </c>
      <c r="H111" t="s">
        <v>237</v>
      </c>
    </row>
    <row r="112" spans="7:8" x14ac:dyDescent="0.2">
      <c r="G112" t="s">
        <v>240</v>
      </c>
      <c r="H112" t="s">
        <v>239</v>
      </c>
    </row>
    <row r="113" spans="7:8" x14ac:dyDescent="0.2">
      <c r="G113" t="s">
        <v>242</v>
      </c>
      <c r="H113" t="s">
        <v>241</v>
      </c>
    </row>
    <row r="114" spans="7:8" x14ac:dyDescent="0.2">
      <c r="G114" t="s">
        <v>244</v>
      </c>
      <c r="H114" t="s">
        <v>243</v>
      </c>
    </row>
    <row r="115" spans="7:8" x14ac:dyDescent="0.2">
      <c r="G115" t="s">
        <v>246</v>
      </c>
      <c r="H115" t="s">
        <v>245</v>
      </c>
    </row>
    <row r="116" spans="7:8" x14ac:dyDescent="0.2">
      <c r="G116" t="s">
        <v>248</v>
      </c>
      <c r="H116" t="s">
        <v>247</v>
      </c>
    </row>
    <row r="117" spans="7:8" x14ac:dyDescent="0.2">
      <c r="G117" t="s">
        <v>250</v>
      </c>
      <c r="H117" t="s">
        <v>249</v>
      </c>
    </row>
    <row r="118" spans="7:8" x14ac:dyDescent="0.2">
      <c r="G118" t="s">
        <v>252</v>
      </c>
      <c r="H118" t="s">
        <v>251</v>
      </c>
    </row>
    <row r="119" spans="7:8" x14ac:dyDescent="0.2">
      <c r="G119" t="s">
        <v>254</v>
      </c>
      <c r="H119" t="s">
        <v>253</v>
      </c>
    </row>
    <row r="120" spans="7:8" x14ac:dyDescent="0.2">
      <c r="G120" t="s">
        <v>256</v>
      </c>
      <c r="H120" t="s">
        <v>255</v>
      </c>
    </row>
    <row r="121" spans="7:8" x14ac:dyDescent="0.2">
      <c r="G121" t="s">
        <v>258</v>
      </c>
      <c r="H121" t="s">
        <v>257</v>
      </c>
    </row>
    <row r="122" spans="7:8" x14ac:dyDescent="0.2">
      <c r="G122" t="s">
        <v>260</v>
      </c>
      <c r="H122" t="s">
        <v>259</v>
      </c>
    </row>
    <row r="123" spans="7:8" x14ac:dyDescent="0.2">
      <c r="G123" t="s">
        <v>262</v>
      </c>
      <c r="H123" t="s">
        <v>261</v>
      </c>
    </row>
    <row r="124" spans="7:8" x14ac:dyDescent="0.2">
      <c r="G124" t="s">
        <v>264</v>
      </c>
      <c r="H124" t="s">
        <v>263</v>
      </c>
    </row>
    <row r="125" spans="7:8" x14ac:dyDescent="0.2">
      <c r="G125" t="s">
        <v>266</v>
      </c>
      <c r="H125" t="s">
        <v>265</v>
      </c>
    </row>
    <row r="126" spans="7:8" x14ac:dyDescent="0.2">
      <c r="G126" t="s">
        <v>268</v>
      </c>
      <c r="H126" t="s">
        <v>267</v>
      </c>
    </row>
    <row r="127" spans="7:8" x14ac:dyDescent="0.2">
      <c r="G127" t="s">
        <v>270</v>
      </c>
      <c r="H127" t="s">
        <v>269</v>
      </c>
    </row>
    <row r="128" spans="7:8" x14ac:dyDescent="0.2">
      <c r="G128" t="s">
        <v>272</v>
      </c>
      <c r="H128" t="s">
        <v>271</v>
      </c>
    </row>
    <row r="129" spans="7:8" x14ac:dyDescent="0.2">
      <c r="G129" t="s">
        <v>274</v>
      </c>
      <c r="H129" t="s">
        <v>273</v>
      </c>
    </row>
    <row r="130" spans="7:8" x14ac:dyDescent="0.2">
      <c r="G130" t="s">
        <v>276</v>
      </c>
      <c r="H130" t="s">
        <v>275</v>
      </c>
    </row>
    <row r="131" spans="7:8" x14ac:dyDescent="0.2">
      <c r="G131" t="s">
        <v>278</v>
      </c>
      <c r="H131" t="s">
        <v>277</v>
      </c>
    </row>
    <row r="132" spans="7:8" x14ac:dyDescent="0.2">
      <c r="G132" t="s">
        <v>280</v>
      </c>
      <c r="H132" t="s">
        <v>279</v>
      </c>
    </row>
    <row r="133" spans="7:8" x14ac:dyDescent="0.2">
      <c r="G133" t="s">
        <v>282</v>
      </c>
      <c r="H133" t="s">
        <v>281</v>
      </c>
    </row>
    <row r="134" spans="7:8" x14ac:dyDescent="0.2">
      <c r="G134" t="s">
        <v>284</v>
      </c>
      <c r="H134" t="s">
        <v>283</v>
      </c>
    </row>
    <row r="135" spans="7:8" x14ac:dyDescent="0.2">
      <c r="G135" t="s">
        <v>286</v>
      </c>
      <c r="H135" t="s">
        <v>285</v>
      </c>
    </row>
    <row r="136" spans="7:8" x14ac:dyDescent="0.2">
      <c r="G136" t="s">
        <v>288</v>
      </c>
      <c r="H136" t="s">
        <v>287</v>
      </c>
    </row>
    <row r="137" spans="7:8" x14ac:dyDescent="0.2">
      <c r="G137" t="s">
        <v>290</v>
      </c>
      <c r="H137" t="s">
        <v>289</v>
      </c>
    </row>
    <row r="138" spans="7:8" x14ac:dyDescent="0.2">
      <c r="G138" t="s">
        <v>292</v>
      </c>
      <c r="H138" t="s">
        <v>291</v>
      </c>
    </row>
    <row r="139" spans="7:8" x14ac:dyDescent="0.2">
      <c r="G139" t="s">
        <v>294</v>
      </c>
      <c r="H139" t="s">
        <v>293</v>
      </c>
    </row>
    <row r="140" spans="7:8" x14ac:dyDescent="0.2">
      <c r="G140" t="s">
        <v>296</v>
      </c>
      <c r="H140" t="s">
        <v>295</v>
      </c>
    </row>
    <row r="141" spans="7:8" x14ac:dyDescent="0.2">
      <c r="G141" t="s">
        <v>298</v>
      </c>
      <c r="H141" t="s">
        <v>297</v>
      </c>
    </row>
    <row r="142" spans="7:8" x14ac:dyDescent="0.2">
      <c r="G142" t="s">
        <v>300</v>
      </c>
      <c r="H142" t="s">
        <v>299</v>
      </c>
    </row>
    <row r="143" spans="7:8" x14ac:dyDescent="0.2">
      <c r="G143" t="s">
        <v>302</v>
      </c>
      <c r="H143" t="s">
        <v>301</v>
      </c>
    </row>
    <row r="144" spans="7:8" x14ac:dyDescent="0.2">
      <c r="G144" t="s">
        <v>304</v>
      </c>
      <c r="H144" t="s">
        <v>303</v>
      </c>
    </row>
    <row r="145" spans="7:8" x14ac:dyDescent="0.2">
      <c r="G145" t="s">
        <v>306</v>
      </c>
      <c r="H145" t="s">
        <v>305</v>
      </c>
    </row>
    <row r="146" spans="7:8" x14ac:dyDescent="0.2">
      <c r="G146" t="s">
        <v>308</v>
      </c>
      <c r="H146" t="s">
        <v>307</v>
      </c>
    </row>
    <row r="147" spans="7:8" x14ac:dyDescent="0.2">
      <c r="G147" t="s">
        <v>310</v>
      </c>
      <c r="H147" t="s">
        <v>309</v>
      </c>
    </row>
    <row r="148" spans="7:8" x14ac:dyDescent="0.2">
      <c r="G148" t="s">
        <v>312</v>
      </c>
      <c r="H148" t="s">
        <v>311</v>
      </c>
    </row>
    <row r="149" spans="7:8" x14ac:dyDescent="0.2">
      <c r="G149" t="s">
        <v>314</v>
      </c>
      <c r="H149" t="s">
        <v>313</v>
      </c>
    </row>
    <row r="150" spans="7:8" x14ac:dyDescent="0.2">
      <c r="G150" t="s">
        <v>316</v>
      </c>
      <c r="H150" t="s">
        <v>315</v>
      </c>
    </row>
    <row r="151" spans="7:8" x14ac:dyDescent="0.2">
      <c r="G151" t="s">
        <v>318</v>
      </c>
      <c r="H151" t="s">
        <v>317</v>
      </c>
    </row>
    <row r="152" spans="7:8" x14ac:dyDescent="0.2">
      <c r="G152" t="s">
        <v>320</v>
      </c>
      <c r="H152" t="s">
        <v>319</v>
      </c>
    </row>
    <row r="153" spans="7:8" x14ac:dyDescent="0.2">
      <c r="G153" t="s">
        <v>322</v>
      </c>
      <c r="H153" t="s">
        <v>321</v>
      </c>
    </row>
    <row r="154" spans="7:8" x14ac:dyDescent="0.2">
      <c r="G154" t="s">
        <v>324</v>
      </c>
      <c r="H154" t="s">
        <v>323</v>
      </c>
    </row>
    <row r="155" spans="7:8" x14ac:dyDescent="0.2">
      <c r="G155" t="s">
        <v>326</v>
      </c>
      <c r="H155" t="s">
        <v>325</v>
      </c>
    </row>
    <row r="156" spans="7:8" x14ac:dyDescent="0.2">
      <c r="G156" t="s">
        <v>328</v>
      </c>
      <c r="H156" t="s">
        <v>327</v>
      </c>
    </row>
    <row r="157" spans="7:8" x14ac:dyDescent="0.2">
      <c r="G157" t="s">
        <v>330</v>
      </c>
      <c r="H157" t="s">
        <v>329</v>
      </c>
    </row>
    <row r="158" spans="7:8" x14ac:dyDescent="0.2">
      <c r="G158" t="s">
        <v>332</v>
      </c>
      <c r="H158" t="s">
        <v>331</v>
      </c>
    </row>
    <row r="159" spans="7:8" x14ac:dyDescent="0.2">
      <c r="G159" t="s">
        <v>334</v>
      </c>
      <c r="H159" t="s">
        <v>333</v>
      </c>
    </row>
    <row r="160" spans="7:8" x14ac:dyDescent="0.2">
      <c r="G160" t="s">
        <v>336</v>
      </c>
      <c r="H160" t="s">
        <v>335</v>
      </c>
    </row>
    <row r="161" spans="7:8" x14ac:dyDescent="0.2">
      <c r="G161" t="s">
        <v>338</v>
      </c>
      <c r="H161" t="s">
        <v>337</v>
      </c>
    </row>
    <row r="162" spans="7:8" x14ac:dyDescent="0.2">
      <c r="G162" t="s">
        <v>340</v>
      </c>
      <c r="H162" t="s">
        <v>339</v>
      </c>
    </row>
    <row r="163" spans="7:8" x14ac:dyDescent="0.2">
      <c r="G163" t="s">
        <v>342</v>
      </c>
      <c r="H163" t="s">
        <v>341</v>
      </c>
    </row>
    <row r="164" spans="7:8" x14ac:dyDescent="0.2">
      <c r="G164" t="s">
        <v>344</v>
      </c>
      <c r="H164" t="s">
        <v>343</v>
      </c>
    </row>
    <row r="165" spans="7:8" x14ac:dyDescent="0.2">
      <c r="G165" t="s">
        <v>346</v>
      </c>
      <c r="H165" t="s">
        <v>345</v>
      </c>
    </row>
    <row r="166" spans="7:8" x14ac:dyDescent="0.2">
      <c r="G166" t="s">
        <v>348</v>
      </c>
      <c r="H166" t="s">
        <v>347</v>
      </c>
    </row>
    <row r="167" spans="7:8" x14ac:dyDescent="0.2">
      <c r="G167" t="s">
        <v>350</v>
      </c>
      <c r="H167" t="s">
        <v>349</v>
      </c>
    </row>
    <row r="168" spans="7:8" x14ac:dyDescent="0.2">
      <c r="G168" t="s">
        <v>352</v>
      </c>
      <c r="H168" t="s">
        <v>351</v>
      </c>
    </row>
    <row r="169" spans="7:8" x14ac:dyDescent="0.2">
      <c r="G169" t="s">
        <v>354</v>
      </c>
      <c r="H169" t="s">
        <v>353</v>
      </c>
    </row>
    <row r="170" spans="7:8" x14ac:dyDescent="0.2">
      <c r="G170" t="s">
        <v>356</v>
      </c>
      <c r="H170" t="s">
        <v>355</v>
      </c>
    </row>
    <row r="171" spans="7:8" x14ac:dyDescent="0.2">
      <c r="G171" t="s">
        <v>358</v>
      </c>
      <c r="H171" t="s">
        <v>357</v>
      </c>
    </row>
    <row r="172" spans="7:8" x14ac:dyDescent="0.2">
      <c r="G172" t="s">
        <v>360</v>
      </c>
      <c r="H172" t="s">
        <v>359</v>
      </c>
    </row>
    <row r="173" spans="7:8" x14ac:dyDescent="0.2">
      <c r="G173" t="s">
        <v>362</v>
      </c>
      <c r="H173" t="s">
        <v>361</v>
      </c>
    </row>
    <row r="174" spans="7:8" x14ac:dyDescent="0.2">
      <c r="G174" t="s">
        <v>364</v>
      </c>
      <c r="H174" t="s">
        <v>363</v>
      </c>
    </row>
    <row r="175" spans="7:8" x14ac:dyDescent="0.2">
      <c r="G175" t="s">
        <v>366</v>
      </c>
      <c r="H175" t="s">
        <v>365</v>
      </c>
    </row>
    <row r="176" spans="7:8" x14ac:dyDescent="0.2">
      <c r="G176" t="s">
        <v>368</v>
      </c>
      <c r="H176" t="s">
        <v>367</v>
      </c>
    </row>
    <row r="177" spans="7:8" x14ac:dyDescent="0.2">
      <c r="G177" t="s">
        <v>370</v>
      </c>
      <c r="H177" t="s">
        <v>369</v>
      </c>
    </row>
    <row r="178" spans="7:8" x14ac:dyDescent="0.2">
      <c r="G178" t="s">
        <v>372</v>
      </c>
      <c r="H178" t="s">
        <v>371</v>
      </c>
    </row>
    <row r="179" spans="7:8" x14ac:dyDescent="0.2">
      <c r="G179" t="s">
        <v>374</v>
      </c>
      <c r="H179" t="s">
        <v>373</v>
      </c>
    </row>
    <row r="180" spans="7:8" x14ac:dyDescent="0.2">
      <c r="G180" t="s">
        <v>376</v>
      </c>
      <c r="H180" t="s">
        <v>375</v>
      </c>
    </row>
    <row r="181" spans="7:8" x14ac:dyDescent="0.2">
      <c r="G181" t="s">
        <v>378</v>
      </c>
      <c r="H181" t="s">
        <v>377</v>
      </c>
    </row>
    <row r="182" spans="7:8" x14ac:dyDescent="0.2">
      <c r="G182" t="s">
        <v>380</v>
      </c>
      <c r="H182" t="s">
        <v>379</v>
      </c>
    </row>
    <row r="183" spans="7:8" x14ac:dyDescent="0.2">
      <c r="G183" t="s">
        <v>382</v>
      </c>
      <c r="H183" t="s">
        <v>381</v>
      </c>
    </row>
    <row r="184" spans="7:8" x14ac:dyDescent="0.2">
      <c r="G184" t="s">
        <v>384</v>
      </c>
      <c r="H184" t="s">
        <v>383</v>
      </c>
    </row>
    <row r="185" spans="7:8" x14ac:dyDescent="0.2">
      <c r="G185" t="s">
        <v>386</v>
      </c>
      <c r="H185" t="s">
        <v>385</v>
      </c>
    </row>
    <row r="186" spans="7:8" x14ac:dyDescent="0.2">
      <c r="G186" t="s">
        <v>388</v>
      </c>
      <c r="H186" t="s">
        <v>387</v>
      </c>
    </row>
    <row r="187" spans="7:8" x14ac:dyDescent="0.2">
      <c r="G187" t="s">
        <v>390</v>
      </c>
      <c r="H187" t="s">
        <v>389</v>
      </c>
    </row>
    <row r="188" spans="7:8" x14ac:dyDescent="0.2">
      <c r="G188" t="s">
        <v>392</v>
      </c>
      <c r="H188" t="s">
        <v>391</v>
      </c>
    </row>
    <row r="189" spans="7:8" x14ac:dyDescent="0.2">
      <c r="G189" t="s">
        <v>394</v>
      </c>
      <c r="H189" t="s">
        <v>393</v>
      </c>
    </row>
    <row r="190" spans="7:8" x14ac:dyDescent="0.2">
      <c r="G190" t="s">
        <v>396</v>
      </c>
      <c r="H190" t="s">
        <v>395</v>
      </c>
    </row>
    <row r="191" spans="7:8" x14ac:dyDescent="0.2">
      <c r="G191" t="s">
        <v>398</v>
      </c>
      <c r="H191" t="s">
        <v>397</v>
      </c>
    </row>
    <row r="192" spans="7:8" x14ac:dyDescent="0.2">
      <c r="G192" t="s">
        <v>400</v>
      </c>
      <c r="H192" t="s">
        <v>399</v>
      </c>
    </row>
    <row r="193" spans="7:8" x14ac:dyDescent="0.2">
      <c r="G193" t="s">
        <v>402</v>
      </c>
      <c r="H193" t="s">
        <v>401</v>
      </c>
    </row>
    <row r="194" spans="7:8" x14ac:dyDescent="0.2">
      <c r="G194" t="s">
        <v>404</v>
      </c>
      <c r="H194" t="s">
        <v>403</v>
      </c>
    </row>
    <row r="195" spans="7:8" x14ac:dyDescent="0.2">
      <c r="G195" t="s">
        <v>406</v>
      </c>
      <c r="H195" t="s">
        <v>405</v>
      </c>
    </row>
    <row r="196" spans="7:8" x14ac:dyDescent="0.2">
      <c r="G196" t="s">
        <v>408</v>
      </c>
      <c r="H196" t="s">
        <v>407</v>
      </c>
    </row>
    <row r="197" spans="7:8" x14ac:dyDescent="0.2">
      <c r="G197" t="s">
        <v>410</v>
      </c>
      <c r="H197" t="s">
        <v>409</v>
      </c>
    </row>
    <row r="198" spans="7:8" x14ac:dyDescent="0.2">
      <c r="G198" t="s">
        <v>412</v>
      </c>
      <c r="H198" t="s">
        <v>411</v>
      </c>
    </row>
    <row r="199" spans="7:8" x14ac:dyDescent="0.2">
      <c r="G199" t="s">
        <v>414</v>
      </c>
      <c r="H199" t="s">
        <v>413</v>
      </c>
    </row>
    <row r="200" spans="7:8" x14ac:dyDescent="0.2">
      <c r="G200" t="s">
        <v>416</v>
      </c>
      <c r="H200" t="s">
        <v>415</v>
      </c>
    </row>
    <row r="201" spans="7:8" x14ac:dyDescent="0.2">
      <c r="G201" t="s">
        <v>418</v>
      </c>
      <c r="H201" t="s">
        <v>417</v>
      </c>
    </row>
    <row r="202" spans="7:8" x14ac:dyDescent="0.2">
      <c r="G202" t="s">
        <v>420</v>
      </c>
      <c r="H202" t="s">
        <v>419</v>
      </c>
    </row>
    <row r="203" spans="7:8" x14ac:dyDescent="0.2">
      <c r="G203" t="s">
        <v>422</v>
      </c>
      <c r="H203" t="s">
        <v>421</v>
      </c>
    </row>
    <row r="204" spans="7:8" x14ac:dyDescent="0.2">
      <c r="G204" t="s">
        <v>424</v>
      </c>
      <c r="H204" t="s">
        <v>423</v>
      </c>
    </row>
    <row r="205" spans="7:8" x14ac:dyDescent="0.2">
      <c r="G205" t="s">
        <v>426</v>
      </c>
      <c r="H205" t="s">
        <v>425</v>
      </c>
    </row>
    <row r="206" spans="7:8" x14ac:dyDescent="0.2">
      <c r="G206" t="s">
        <v>428</v>
      </c>
      <c r="H206" t="s">
        <v>427</v>
      </c>
    </row>
    <row r="207" spans="7:8" x14ac:dyDescent="0.2">
      <c r="G207" t="s">
        <v>430</v>
      </c>
      <c r="H207" t="s">
        <v>429</v>
      </c>
    </row>
    <row r="208" spans="7:8" x14ac:dyDescent="0.2">
      <c r="G208" t="s">
        <v>432</v>
      </c>
      <c r="H208" t="s">
        <v>431</v>
      </c>
    </row>
    <row r="209" spans="7:8" x14ac:dyDescent="0.2">
      <c r="G209" t="s">
        <v>434</v>
      </c>
      <c r="H209" t="s">
        <v>433</v>
      </c>
    </row>
    <row r="210" spans="7:8" x14ac:dyDescent="0.2">
      <c r="G210" t="s">
        <v>436</v>
      </c>
      <c r="H210" t="s">
        <v>435</v>
      </c>
    </row>
    <row r="211" spans="7:8" x14ac:dyDescent="0.2">
      <c r="G211" t="s">
        <v>438</v>
      </c>
      <c r="H211" t="s">
        <v>437</v>
      </c>
    </row>
    <row r="212" spans="7:8" x14ac:dyDescent="0.2">
      <c r="G212" t="s">
        <v>440</v>
      </c>
      <c r="H212" t="s">
        <v>439</v>
      </c>
    </row>
    <row r="213" spans="7:8" x14ac:dyDescent="0.2">
      <c r="G213" t="s">
        <v>442</v>
      </c>
      <c r="H213" t="s">
        <v>441</v>
      </c>
    </row>
    <row r="214" spans="7:8" x14ac:dyDescent="0.2">
      <c r="G214" t="s">
        <v>444</v>
      </c>
      <c r="H214" t="s">
        <v>443</v>
      </c>
    </row>
    <row r="215" spans="7:8" x14ac:dyDescent="0.2">
      <c r="G215" t="s">
        <v>446</v>
      </c>
      <c r="H215" t="s">
        <v>445</v>
      </c>
    </row>
    <row r="216" spans="7:8" x14ac:dyDescent="0.2">
      <c r="G216" t="s">
        <v>448</v>
      </c>
      <c r="H216" t="s">
        <v>447</v>
      </c>
    </row>
    <row r="217" spans="7:8" x14ac:dyDescent="0.2">
      <c r="G217" t="s">
        <v>450</v>
      </c>
      <c r="H217" t="s">
        <v>449</v>
      </c>
    </row>
    <row r="218" spans="7:8" x14ac:dyDescent="0.2">
      <c r="G218" t="s">
        <v>452</v>
      </c>
      <c r="H218" t="s">
        <v>451</v>
      </c>
    </row>
    <row r="219" spans="7:8" x14ac:dyDescent="0.2">
      <c r="G219" t="s">
        <v>454</v>
      </c>
      <c r="H219" t="s">
        <v>453</v>
      </c>
    </row>
    <row r="220" spans="7:8" x14ac:dyDescent="0.2">
      <c r="G220" t="s">
        <v>456</v>
      </c>
      <c r="H220" t="s">
        <v>455</v>
      </c>
    </row>
    <row r="221" spans="7:8" x14ac:dyDescent="0.2">
      <c r="G221" t="s">
        <v>458</v>
      </c>
      <c r="H221" t="s">
        <v>457</v>
      </c>
    </row>
    <row r="222" spans="7:8" x14ac:dyDescent="0.2">
      <c r="G222" t="s">
        <v>460</v>
      </c>
      <c r="H222" t="s">
        <v>459</v>
      </c>
    </row>
    <row r="223" spans="7:8" x14ac:dyDescent="0.2">
      <c r="G223" t="s">
        <v>462</v>
      </c>
      <c r="H223" t="s">
        <v>461</v>
      </c>
    </row>
    <row r="224" spans="7:8" x14ac:dyDescent="0.2">
      <c r="G224" t="s">
        <v>464</v>
      </c>
      <c r="H224" t="s">
        <v>463</v>
      </c>
    </row>
    <row r="225" spans="7:8" x14ac:dyDescent="0.2">
      <c r="G225" t="s">
        <v>466</v>
      </c>
      <c r="H225" t="s">
        <v>465</v>
      </c>
    </row>
    <row r="226" spans="7:8" x14ac:dyDescent="0.2">
      <c r="G226" t="s">
        <v>468</v>
      </c>
      <c r="H226" t="s">
        <v>467</v>
      </c>
    </row>
    <row r="227" spans="7:8" x14ac:dyDescent="0.2">
      <c r="G227" t="s">
        <v>470</v>
      </c>
      <c r="H227" t="s">
        <v>469</v>
      </c>
    </row>
    <row r="228" spans="7:8" x14ac:dyDescent="0.2">
      <c r="G228" t="s">
        <v>472</v>
      </c>
      <c r="H228" t="s">
        <v>471</v>
      </c>
    </row>
    <row r="229" spans="7:8" x14ac:dyDescent="0.2">
      <c r="G229" t="s">
        <v>474</v>
      </c>
      <c r="H229" t="s">
        <v>473</v>
      </c>
    </row>
    <row r="230" spans="7:8" x14ac:dyDescent="0.2">
      <c r="G230" t="s">
        <v>476</v>
      </c>
      <c r="H230" t="s">
        <v>475</v>
      </c>
    </row>
    <row r="231" spans="7:8" x14ac:dyDescent="0.2">
      <c r="G231" t="s">
        <v>478</v>
      </c>
      <c r="H231" t="s">
        <v>477</v>
      </c>
    </row>
    <row r="232" spans="7:8" x14ac:dyDescent="0.2">
      <c r="G232" t="s">
        <v>480</v>
      </c>
      <c r="H232" t="s">
        <v>479</v>
      </c>
    </row>
    <row r="233" spans="7:8" x14ac:dyDescent="0.2">
      <c r="G233" t="s">
        <v>482</v>
      </c>
      <c r="H233" t="s">
        <v>481</v>
      </c>
    </row>
    <row r="234" spans="7:8" x14ac:dyDescent="0.2">
      <c r="G234" t="s">
        <v>484</v>
      </c>
      <c r="H234" t="s">
        <v>483</v>
      </c>
    </row>
    <row r="235" spans="7:8" x14ac:dyDescent="0.2">
      <c r="G235" t="s">
        <v>486</v>
      </c>
      <c r="H235" t="s">
        <v>485</v>
      </c>
    </row>
    <row r="236" spans="7:8" x14ac:dyDescent="0.2">
      <c r="G236" t="s">
        <v>488</v>
      </c>
      <c r="H236" t="s">
        <v>487</v>
      </c>
    </row>
    <row r="237" spans="7:8" x14ac:dyDescent="0.2">
      <c r="G237" t="s">
        <v>490</v>
      </c>
      <c r="H237" t="s">
        <v>489</v>
      </c>
    </row>
    <row r="238" spans="7:8" x14ac:dyDescent="0.2">
      <c r="G238" t="s">
        <v>492</v>
      </c>
      <c r="H238" t="s">
        <v>491</v>
      </c>
    </row>
    <row r="239" spans="7:8" x14ac:dyDescent="0.2">
      <c r="G239" t="s">
        <v>494</v>
      </c>
      <c r="H239" t="s">
        <v>493</v>
      </c>
    </row>
    <row r="240" spans="7:8" x14ac:dyDescent="0.2">
      <c r="G240" t="s">
        <v>496</v>
      </c>
      <c r="H240" t="s">
        <v>495</v>
      </c>
    </row>
    <row r="241" spans="7:8" x14ac:dyDescent="0.2">
      <c r="G241" t="s">
        <v>498</v>
      </c>
      <c r="H241" t="s">
        <v>497</v>
      </c>
    </row>
    <row r="242" spans="7:8" x14ac:dyDescent="0.2">
      <c r="G242" t="s">
        <v>500</v>
      </c>
      <c r="H242" t="s">
        <v>499</v>
      </c>
    </row>
    <row r="243" spans="7:8" x14ac:dyDescent="0.2">
      <c r="G243" t="s">
        <v>502</v>
      </c>
      <c r="H243" t="s">
        <v>501</v>
      </c>
    </row>
    <row r="244" spans="7:8" x14ac:dyDescent="0.2">
      <c r="G244" t="s">
        <v>504</v>
      </c>
      <c r="H244" t="s">
        <v>503</v>
      </c>
    </row>
    <row r="245" spans="7:8" x14ac:dyDescent="0.2">
      <c r="G245" t="s">
        <v>506</v>
      </c>
      <c r="H245" t="s">
        <v>505</v>
      </c>
    </row>
    <row r="246" spans="7:8" x14ac:dyDescent="0.2">
      <c r="G246" t="s">
        <v>508</v>
      </c>
      <c r="H246" t="s">
        <v>507</v>
      </c>
    </row>
    <row r="247" spans="7:8" x14ac:dyDescent="0.2">
      <c r="G247" t="s">
        <v>510</v>
      </c>
      <c r="H247" t="s">
        <v>509</v>
      </c>
    </row>
    <row r="248" spans="7:8" x14ac:dyDescent="0.2">
      <c r="G248" t="s">
        <v>512</v>
      </c>
      <c r="H248" t="s">
        <v>511</v>
      </c>
    </row>
    <row r="249" spans="7:8" x14ac:dyDescent="0.2">
      <c r="G249" t="s">
        <v>514</v>
      </c>
      <c r="H249" t="s">
        <v>513</v>
      </c>
    </row>
    <row r="250" spans="7:8" x14ac:dyDescent="0.2">
      <c r="G250" t="s">
        <v>516</v>
      </c>
      <c r="H250" t="s">
        <v>515</v>
      </c>
    </row>
    <row r="251" spans="7:8" x14ac:dyDescent="0.2">
      <c r="G251" t="s">
        <v>518</v>
      </c>
      <c r="H251" t="s">
        <v>517</v>
      </c>
    </row>
    <row r="252" spans="7:8" x14ac:dyDescent="0.2">
      <c r="G252" t="s">
        <v>520</v>
      </c>
      <c r="H252" t="s">
        <v>519</v>
      </c>
    </row>
    <row r="253" spans="7:8" x14ac:dyDescent="0.2">
      <c r="G253" t="s">
        <v>522</v>
      </c>
      <c r="H253" t="s">
        <v>521</v>
      </c>
    </row>
    <row r="254" spans="7:8" x14ac:dyDescent="0.2">
      <c r="G254" t="s">
        <v>524</v>
      </c>
      <c r="H254" t="s">
        <v>523</v>
      </c>
    </row>
    <row r="255" spans="7:8" x14ac:dyDescent="0.2">
      <c r="G255" t="s">
        <v>552</v>
      </c>
      <c r="H255">
        <v>254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62FCA5-DEAE-41DA-875F-80499F658A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Hoja1</vt:lpstr>
      <vt:lpstr>Tablas</vt:lpstr>
      <vt:lpstr>estudianteLista</vt:lpstr>
      <vt:lpstr>listaSexo</vt:lpstr>
      <vt:lpstr>paisesLista</vt:lpstr>
      <vt:lpstr>procedenciaLista</vt:lpstr>
      <vt:lpstr>tarifasLista</vt:lpstr>
      <vt:lpstr>tdocLista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Bryan Amado Miranda</dc:creator>
  <cp:lastModifiedBy>Susan Acuña</cp:lastModifiedBy>
  <cp:lastPrinted>2024-05-26T14:54:41Z</cp:lastPrinted>
  <dcterms:created xsi:type="dcterms:W3CDTF">2024-05-26T14:52:21Z</dcterms:created>
  <dcterms:modified xsi:type="dcterms:W3CDTF">2026-03-05T17:01:22Z</dcterms:modified>
</cp:coreProperties>
</file>